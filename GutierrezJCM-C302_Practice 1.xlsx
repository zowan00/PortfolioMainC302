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300" tabRatio="724" activeTab="1"/>
  </bookViews>
  <sheets>
    <sheet name="Dirty Data" sheetId="2" r:id="rId1"/>
    <sheet name="Clean" sheetId="4" r:id="rId2"/>
    <sheet name="Payment" sheetId="8" r:id="rId3"/>
    <sheet name="State" sheetId="7" r:id="rId4"/>
    <sheet name="Department" sheetId="6" r:id="rId5"/>
    <sheet name="Client" sheetId="5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2" i="4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2" i="4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<sst xmlns="http://schemas.openxmlformats.org/spreadsheetml/2006/main" count="489" uniqueCount="246">
  <si>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</si>
  <si>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</si>
  <si>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</si>
  <si>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</si>
  <si>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</si>
  <si>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</si>
  <si>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</si>
  <si>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</si>
  <si>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</si>
  <si>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</si>
  <si>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</si>
  <si>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</si>
  <si>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</si>
  <si>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</si>
  <si>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</si>
  <si>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</si>
  <si>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</si>
  <si>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</si>
  <si>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</si>
  <si>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</si>
  <si>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</si>
  <si>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</si>
  <si>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</si>
  <si>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</si>
  <si>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</si>
  <si>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</si>
  <si>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</si>
  <si>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</si>
  <si>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</si>
  <si>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</si>
  <si>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</si>
  <si>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</si>
  <si>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</si>
  <si>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</si>
  <si>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</si>
  <si>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</si>
  <si>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</si>
  <si>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</si>
  <si>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</si>
  <si>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</si>
  <si>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</si>
  <si>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</si>
  <si>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</si>
  <si>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</si>
  <si>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</si>
  <si>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</si>
  <si>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</si>
  <si>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</si>
  <si>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</si>
  <si>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</si>
  <si>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</si>
  <si>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</si>
  <si>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</si>
  <si>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</si>
  <si>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</si>
  <si>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</si>
  <si>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</si>
  <si>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</si>
  <si>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</si>
  <si>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</si>
  <si>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</si>
  <si>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</si>
  <si>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</si>
  <si>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</si>
  <si>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</si>
  <si>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</si>
  <si>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</si>
  <si>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</si>
  <si>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</si>
  <si>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</si>
  <si>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</si>
  <si>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</si>
  <si>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</si>
  <si>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</si>
  <si>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</si>
  <si>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</si>
  <si>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</si>
  <si>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</si>
  <si>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</si>
  <si>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</si>
  <si>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</si>
  <si>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</si>
  <si>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</si>
  <si>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</si>
  <si>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</si>
  <si>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</si>
  <si>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</si>
  <si>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</si>
  <si>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</si>
  <si>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</si>
  <si>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</si>
  <si>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</si>
  <si>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</si>
  <si>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</si>
  <si>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</si>
  <si>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</si>
  <si>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</si>
  <si>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</si>
  <si>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</si>
  <si>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</si>
  <si>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First Name</t>
  </si>
  <si>
    <t>Last Name</t>
  </si>
  <si>
    <t>Bill</t>
  </si>
  <si>
    <t>Smith</t>
  </si>
  <si>
    <t>Ken</t>
  </si>
  <si>
    <t>Singh</t>
  </si>
  <si>
    <t>Harley</t>
  </si>
  <si>
    <t>Fritz</t>
  </si>
  <si>
    <t>Nyla</t>
  </si>
  <si>
    <t>Novak</t>
  </si>
  <si>
    <t>David</t>
  </si>
  <si>
    <t>Rasmussen</t>
  </si>
  <si>
    <t>Ivan</t>
  </si>
  <si>
    <t>Hiney</t>
  </si>
  <si>
    <t>Jonha</t>
  </si>
  <si>
    <t>Ma</t>
  </si>
  <si>
    <t>Jordan</t>
  </si>
  <si>
    <t>Boone</t>
  </si>
  <si>
    <t>Kylee</t>
  </si>
  <si>
    <t>Townsend</t>
  </si>
  <si>
    <t>Nora</t>
  </si>
  <si>
    <t>Rollins</t>
  </si>
  <si>
    <t>Brendan</t>
  </si>
  <si>
    <t>Wallace</t>
  </si>
  <si>
    <t>Conor</t>
  </si>
  <si>
    <t>Wise</t>
  </si>
  <si>
    <t>Steven</t>
  </si>
  <si>
    <t>Michael</t>
  </si>
  <si>
    <t>Lucia</t>
  </si>
  <si>
    <t>Mckay</t>
  </si>
  <si>
    <t>Jose</t>
  </si>
  <si>
    <t>Roach</t>
  </si>
  <si>
    <t>Franklin</t>
  </si>
  <si>
    <t>Wrigt</t>
  </si>
  <si>
    <t>Alia</t>
  </si>
  <si>
    <t>Thornton</t>
  </si>
  <si>
    <t>Denzel</t>
  </si>
  <si>
    <t>Flores</t>
  </si>
  <si>
    <t>Bruno</t>
  </si>
  <si>
    <t>Cordova</t>
  </si>
  <si>
    <t>Jaylynn</t>
  </si>
  <si>
    <t>Napp</t>
  </si>
  <si>
    <t>Bruce</t>
  </si>
  <si>
    <t>Rich</t>
  </si>
  <si>
    <t>Arturo</t>
  </si>
  <si>
    <t>Moore</t>
  </si>
  <si>
    <t>Bryce</t>
  </si>
  <si>
    <t>Carpenter</t>
  </si>
  <si>
    <t>Jaidyn</t>
  </si>
  <si>
    <t>Andersen</t>
  </si>
  <si>
    <t>Mark</t>
  </si>
  <si>
    <t>Walm</t>
  </si>
  <si>
    <t>Harry</t>
  </si>
  <si>
    <t>Lee</t>
  </si>
  <si>
    <t>Josh</t>
  </si>
  <si>
    <t>Johnson</t>
  </si>
  <si>
    <t>Mik</t>
  </si>
  <si>
    <t>Naam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</si>
  <si>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</si>
  <si>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</si>
  <si>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</si>
  <si>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</si>
  <si>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</si>
  <si>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</si>
  <si>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</si>
  <si>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</si>
  <si>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State</t>
  </si>
  <si>
    <t>Other</t>
  </si>
  <si>
    <t>Client_Id</t>
  </si>
  <si>
    <t>C-100</t>
  </si>
  <si>
    <t>C-101</t>
  </si>
  <si>
    <t>S-101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</si>
  <si>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</si>
  <si>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</si>
  <si>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</si>
  <si>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</si>
  <si>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</si>
  <si>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</si>
  <si>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</si>
  <si>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</si>
  <si>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</si>
  <si>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</si>
  <si>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</si>
  <si>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</si>
  <si>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</si>
  <si>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</si>
  <si>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</si>
  <si>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</si>
  <si>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</si>
  <si>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</si>
  <si>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</si>
  <si>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</si>
  <si>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</si>
  <si>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</si>
  <si>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</si>
  <si>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</si>
  <si>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</si>
  <si>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</si>
  <si>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D-101</t>
  </si>
  <si>
    <t>D-102</t>
  </si>
  <si>
    <t>D-103</t>
  </si>
  <si>
    <t>Dept_Id</t>
  </si>
  <si>
    <t>State_Id</t>
  </si>
  <si>
    <t>S-102</t>
  </si>
  <si>
    <t>S-103</t>
  </si>
  <si>
    <t>S-104</t>
  </si>
  <si>
    <t>Payment_Id</t>
  </si>
  <si>
    <t>P-101</t>
  </si>
  <si>
    <t>P-102</t>
  </si>
  <si>
    <t>P-103</t>
  </si>
  <si>
    <t>P-104</t>
  </si>
  <si>
    <t>P-105</t>
  </si>
  <si>
    <t>D-104</t>
  </si>
  <si>
    <t>Client_ID</t>
  </si>
  <si>
    <t>Dept_ID</t>
  </si>
  <si>
    <t>State_ID</t>
  </si>
  <si>
    <t>Payment_ID</t>
  </si>
  <si>
    <t>Trans_ID</t>
  </si>
  <si>
    <t>T-101</t>
  </si>
  <si>
    <t>T-102</t>
  </si>
  <si>
    <t>T-103</t>
  </si>
  <si>
    <t>T-104</t>
  </si>
  <si>
    <t>T-105</t>
  </si>
  <si>
    <t>T-106</t>
  </si>
  <si>
    <t>T-107</t>
  </si>
  <si>
    <t>T-108</t>
  </si>
  <si>
    <t>T-109</t>
  </si>
  <si>
    <t>T-110</t>
  </si>
  <si>
    <t>T-111</t>
  </si>
  <si>
    <t>T-112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</si>
  <si>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</si>
  <si>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</si>
  <si>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</si>
  <si>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</si>
  <si>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</si>
  <si>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</si>
  <si>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</si>
  <si>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</si>
  <si>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</si>
  <si>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</si>
  <si>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</si>
  <si>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</si>
  <si>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</si>
  <si>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T-126</t>
  </si>
  <si>
    <t>T-127</t>
  </si>
  <si>
    <t>T-128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</si>
</sst>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[Red]\(&quot;$&quot;#,##0\)"/>
    <numFmt numFmtId="165" formatCode="0.0%"/>
    <numFmt numFmtId="166" formatCode="m/d/yyyy;@"/>
    <numFmt numFmtId="167" formatCode="[$$-409]#,##0.00;[Red][$$-409]#,##0.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3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2" fillId="2" borderId="0" xfId="0" applyFont="1" applyFill="1" applyAlignment="1">
      <alignment horizontal="center"/>
    </xf>
    <xf numFmtId="166" fontId="0" fillId="0" borderId="0" xfId="0" applyNumberFormat="1"/>
    <xf numFmtId="164" fontId="0" fillId="0" borderId="0" xfId="0" applyNumberFormat="1"/>
    <xf numFmtId="9" fontId="0" fillId="0" borderId="0" xfId="1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3" borderId="0" xfId="2"/>
  </cellXfs>
  <cellStyles count="3">
    <cellStyle name="Accent2" xfId="2" builtinId="33"/>
    <cellStyle name="Normal" xfId="0" builtinId="0"/>
    <cellStyle name="Percent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zoomScale="115" zoomScaleNormal="115" workbookViewId="0">
      <selection activeCell="H10" sqref="H10"/>
    </sheetView>
  </sheetViews>
  <sheetFormatPr defaultColWidth="11" defaultRowHeight="15.75" x14ac:dyDescent="0.25"/>
  <cols>
    <col min="1" max="1" width="3.5" customWidth="1"/>
    <col min="2" max="2" width="5.875" customWidth="1"/>
    <col min="3" max="3" width="21" customWidth="1"/>
    <col min="4" max="4" width="16.875" bestFit="1" customWidth="1"/>
    <col min="5" max="5" width="20.625" customWidth="1"/>
    <col min="6" max="6" width="12.25" bestFit="1" customWidth="1"/>
    <col min="7" max="7" width="12" bestFit="1" customWidth="1"/>
    <col min="8" max="8" width="8.25" bestFit="1" customWidth="1"/>
    <col min="9" max="9" width="18.125" bestFit="1" customWidth="1"/>
  </cols>
  <sheetData>
    <row r="2" spans="2:9" ht="23.25" x14ac:dyDescent="0.35">
      <c r="B2" s="4" t="s">
        <v>0</v>
      </c>
      <c r="C2" s="4" t="s">
        <v>5</v>
      </c>
      <c r="D2" s="4" t="s">
        <v>1</v>
      </c>
      <c r="E2" s="4" t="s">
        <v>6</v>
      </c>
      <c r="F2" s="4" t="s">
        <v>47</v>
      </c>
      <c r="G2" s="4" t="s">
        <v>2</v>
      </c>
      <c r="H2" s="4" t="s">
        <v>3</v>
      </c>
      <c r="I2" s="4" t="s">
        <v>4</v>
      </c>
    </row>
    <row r="3" spans="2:9" x14ac:dyDescent="0.25">
      <c r="B3" s="3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3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3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3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3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25">
      <c r="B8" s="3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3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ht="164.25" customHeight="1" x14ac:dyDescent="0.25">
      <c r="B10" s="3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3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25">
      <c r="B12" s="3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3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3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3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3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3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25">
      <c r="B18" s="3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3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59.75" customHeight="1" x14ac:dyDescent="0.25">
      <c r="B20" s="3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3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3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x14ac:dyDescent="0.25">
      <c r="B23" s="3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25">
      <c r="B24" s="3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3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3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3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3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3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3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3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3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3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abSelected="1" zoomScaleNormal="100" workbookViewId="0">
      <selection activeCell="I36" sqref="I36"/>
    </sheetView>
  </sheetViews>
  <sheetFormatPr defaultColWidth="11" defaultRowHeight="15.75" x14ac:dyDescent="0.25"/>
  <cols>
    <col min="1" max="1" width="13.75" customWidth="1"/>
    <col min="2" max="2" width="10.375" customWidth="1"/>
    <col min="3" max="3" width="12.875" bestFit="1" customWidth="1"/>
    <col min="4" max="4" width="32.875" bestFit="1" customWidth="1"/>
    <col min="5" max="5" width="15" bestFit="1" customWidth="1"/>
    <col min="6" max="6" width="14.625" bestFit="1" customWidth="1"/>
    <col min="7" max="7" width="14.625" customWidth="1"/>
    <col min="8" max="8" width="16.875" bestFit="1" customWidth="1"/>
    <col min="9" max="9" width="16.875" customWidth="1"/>
    <col min="10" max="10" width="8.75" bestFit="1" customWidth="1"/>
    <col min="11" max="12" width="16.875" bestFit="1" customWidth="1"/>
    <col min="13" max="13" width="16.875" customWidth="1"/>
    <col min="14" max="14" width="8.875" bestFit="1" customWidth="1"/>
    <col min="15" max="15" width="18.125" bestFit="1" customWidth="1"/>
    <col min="16" max="16" width="8.375" bestFit="1" customWidth="1"/>
    <col min="17" max="17" width="18.25" bestFit="1" customWidth="1"/>
  </cols>
  <sheetData>
    <row r="1" spans="1:15" ht="23.25" x14ac:dyDescent="0.35">
      <c r="A1" s="4" t="s">
        <v>217</v>
      </c>
      <c r="B1" s="4" t="s">
        <v>0</v>
      </c>
      <c r="C1" s="4" t="s">
        <v>213</v>
      </c>
      <c r="D1" s="4" t="s">
        <v>5</v>
      </c>
      <c r="E1" s="4" t="s">
        <v>100</v>
      </c>
      <c r="F1" s="4" t="s">
        <v>101</v>
      </c>
      <c r="G1" s="4" t="s">
        <v>214</v>
      </c>
      <c r="H1" s="4" t="s">
        <v>6</v>
      </c>
      <c r="I1" s="4" t="s">
        <v>215</v>
      </c>
      <c r="J1" s="4" t="s">
        <v>166</v>
      </c>
      <c r="K1" s="4" t="s">
        <v>216</v>
      </c>
      <c r="L1" s="4" t="s">
        <v>47</v>
      </c>
      <c r="M1" s="4" t="s">
        <v>2</v>
      </c>
      <c r="N1" s="4" t="s">
        <v>3</v>
      </c>
      <c r="O1" s="4" t="s">
        <v>4</v>
      </c>
    </row>
    <row r="2" spans="1:15" x14ac:dyDescent="0.25">
      <c r="A2" t="s">
        <v>218</v>
      </c>
      <c r="B2" s="5">
        <v>45076</v>
      </c>
      <c r="C2" s="10" t="str">
        <f>VLOOKUP(D2,Client!A$3:B$30,2,TRUE )</f>
        <v>C-100</v>
      </c>
      <c r="D2" t="s">
        <v>72</v>
      </c>
      <c r="E2" t="s">
        <v>102</v>
      </c>
      <c r="F2" t="s">
        <v>103</v>
      </c>
      <c r="G2" s="10" t="str">
        <f>VLOOKUP(H2,Department!A$3:B$6,2,TRUE)</f>
        <v>D-102</v>
      </c>
      <c r="H2" t="s">
        <v>158</v>
      </c>
      <c r="I2" s="10" t="str">
        <f>VLOOKUP(J2,State!A$3:B$6,2,TRUE)</f>
        <v>S-104</v>
      </c>
      <c r="J2" t="s">
        <v>159</v>
      </c>
      <c r="K2" s="10" t="str">
        <f>VLOOKUP(L2,Payment!A$3:B$7,2,TRUE)</f>
        <v>P-105</v>
      </c>
      <c r="L2" t="s">
        <v>51</v>
      </c>
      <c r="M2" s="8">
        <v>4500</v>
      </c>
      <c r="N2" s="8">
        <v>598</v>
      </c>
      <c r="O2" s="7">
        <f t="shared" ref="O2:O29" si="0">IFERROR(N2/M2, 0)</f>
        <v>0.13288888888888889</v>
      </c>
    </row>
    <row r="3" spans="1:15" x14ac:dyDescent="0.25">
      <c r="A3" t="s">
        <v>219</v>
      </c>
      <c r="B3" s="5">
        <v>45076</v>
      </c>
      <c r="C3" s="10" t="str">
        <f>VLOOKUP(D3,Client!A$3:B$30,2,TRUE )</f>
        <v>C-122</v>
      </c>
      <c r="D3" t="s">
        <v>73</v>
      </c>
      <c r="E3" t="s">
        <v>104</v>
      </c>
      <c r="F3" t="s">
        <v>105</v>
      </c>
      <c r="G3" s="10" t="str">
        <f>VLOOKUP(H3,Department!A$3:B$6,2,TRUE)</f>
        <v>D-104</v>
      </c>
      <c r="H3" t="s">
        <v>160</v>
      </c>
      <c r="I3" s="10" t="str">
        <f>VLOOKUP(J3,State!A$3:B$6,2,TRUE)</f>
        <v>S-103</v>
      </c>
      <c r="J3" t="s">
        <v>161</v>
      </c>
      <c r="K3" s="10" t="str">
        <f>VLOOKUP(L3,Payment!A$3:B$7,2,TRUE)</f>
        <v>P-104</v>
      </c>
      <c r="L3" t="s">
        <v>49</v>
      </c>
      <c r="M3" s="8">
        <v>3800</v>
      </c>
      <c r="N3" s="8">
        <v>1045</v>
      </c>
      <c r="O3" s="7">
        <f t="shared" si="0"/>
        <v>0.27500000000000002</v>
      </c>
    </row>
    <row r="4" spans="1:15" x14ac:dyDescent="0.25">
      <c r="A4" t="s">
        <v>220</v>
      </c>
      <c r="B4" s="5">
        <v>45076</v>
      </c>
      <c r="C4" s="10" t="str">
        <f>VLOOKUP(D4,Client!A$3:B$30,2,TRUE )</f>
        <v>C-120</v>
      </c>
      <c r="D4" t="s">
        <v>74</v>
      </c>
      <c r="E4" t="s">
        <v>106</v>
      </c>
      <c r="F4" t="s">
        <v>107</v>
      </c>
      <c r="G4" s="10" t="str">
        <f>VLOOKUP(H4,Department!A$3:B$6,2,TRUE)</f>
        <v>D-104</v>
      </c>
      <c r="H4" t="s">
        <v>160</v>
      </c>
      <c r="I4" s="10" t="str">
        <f>VLOOKUP(J4,State!A$3:B$6,2,TRUE)</f>
        <v>S-103</v>
      </c>
      <c r="J4" t="s">
        <v>161</v>
      </c>
      <c r="K4" s="10" t="str">
        <f>VLOOKUP(L4,Payment!A$3:B$7,2,TRUE)</f>
        <v>P-103</v>
      </c>
      <c r="L4" t="s">
        <v>167</v>
      </c>
      <c r="M4" s="8">
        <v>3712.5</v>
      </c>
      <c r="N4" s="8">
        <v>1009</v>
      </c>
      <c r="O4" s="7">
        <f t="shared" si="0"/>
        <v>0.2717845117845118</v>
      </c>
    </row>
    <row r="5" spans="1:15" x14ac:dyDescent="0.25">
      <c r="A5" t="s">
        <v>221</v>
      </c>
      <c r="B5" s="5">
        <v>45076</v>
      </c>
      <c r="C5" s="10" t="str">
        <f>VLOOKUP(D5,Client!A$3:B$30,2,TRUE )</f>
        <v>C-125</v>
      </c>
      <c r="D5" t="s">
        <v>75</v>
      </c>
      <c r="E5" t="s">
        <v>108</v>
      </c>
      <c r="F5" t="s">
        <v>109</v>
      </c>
      <c r="G5" s="10" t="str">
        <f>VLOOKUP(H5,Department!A$3:B$6,2,TRUE)</f>
        <v>D-103</v>
      </c>
      <c r="H5" t="s">
        <v>162</v>
      </c>
      <c r="I5" s="10" t="str">
        <f>VLOOKUP(J5,State!A$3:B$6,2,TRUE)</f>
        <v>S-102</v>
      </c>
      <c r="J5" t="s">
        <v>163</v>
      </c>
      <c r="K5" s="10" t="str">
        <f>VLOOKUP(L5,Payment!A$3:B$7,2,TRUE)</f>
        <v>P-103</v>
      </c>
      <c r="L5" t="s">
        <v>167</v>
      </c>
      <c r="M5" s="8">
        <v>4994</v>
      </c>
      <c r="N5" s="8">
        <v>779</v>
      </c>
      <c r="O5" s="7">
        <f t="shared" si="0"/>
        <v>0.15598718462154584</v>
      </c>
    </row>
    <row r="6" spans="1:15" x14ac:dyDescent="0.25">
      <c r="A6" t="s">
        <v>222</v>
      </c>
      <c r="B6" s="5">
        <v>45076</v>
      </c>
      <c r="C6" s="10" t="str">
        <f>VLOOKUP(D6,Client!A$3:B$30,2,TRUE )</f>
        <v>C-123</v>
      </c>
      <c r="D6" t="s">
        <v>76</v>
      </c>
      <c r="E6" t="s">
        <v>110</v>
      </c>
      <c r="F6" t="s">
        <v>111</v>
      </c>
      <c r="G6" s="10" t="str">
        <f>VLOOKUP(H6,Department!A$3:B$6,2,TRUE)</f>
        <v>D-103</v>
      </c>
      <c r="H6" t="s">
        <v>162</v>
      </c>
      <c r="I6" s="10" t="str">
        <f>VLOOKUP(J6,State!A$3:B$6,2,TRUE)</f>
        <v>S-102</v>
      </c>
      <c r="J6" t="s">
        <v>163</v>
      </c>
      <c r="K6" s="10" t="str">
        <f>VLOOKUP(L6,Payment!A$3:B$7,2,TRUE)</f>
        <v>P-102</v>
      </c>
      <c r="L6" t="s">
        <v>50</v>
      </c>
      <c r="M6" s="8">
        <v>5000</v>
      </c>
      <c r="N6" s="8">
        <v>684</v>
      </c>
      <c r="O6" s="7">
        <f t="shared" si="0"/>
        <v>0.1368</v>
      </c>
    </row>
    <row r="7" spans="1:15" x14ac:dyDescent="0.25">
      <c r="A7" t="s">
        <v>223</v>
      </c>
      <c r="B7" s="5">
        <v>45077</v>
      </c>
      <c r="C7" s="10" t="str">
        <f>VLOOKUP(D7,Client!A$3:B$30,2,TRUE )</f>
        <v>C-115</v>
      </c>
      <c r="D7" t="s">
        <v>77</v>
      </c>
      <c r="E7" t="s">
        <v>112</v>
      </c>
      <c r="F7" t="s">
        <v>113</v>
      </c>
      <c r="G7" s="10" t="str">
        <f>VLOOKUP(H7,Department!A$3:B$6,2,TRUE)</f>
        <v>D-102</v>
      </c>
      <c r="H7" t="s">
        <v>158</v>
      </c>
      <c r="I7" s="10" t="str">
        <f>VLOOKUP(J7,State!A$3:B$6,2,TRUE)</f>
        <v>S-104</v>
      </c>
      <c r="J7" t="s">
        <v>159</v>
      </c>
      <c r="K7" s="10" t="str">
        <f>VLOOKUP(L7,Payment!A$3:B$7,2,TRUE)</f>
        <v>P-105</v>
      </c>
      <c r="L7" t="s">
        <v>51</v>
      </c>
      <c r="M7" s="8">
        <v>6100</v>
      </c>
      <c r="N7" s="8">
        <v>544</v>
      </c>
      <c r="O7" s="7">
        <f t="shared" si="0"/>
        <v>8.9180327868852466E-2</v>
      </c>
    </row>
    <row r="8" spans="1:15" x14ac:dyDescent="0.25">
      <c r="A8" t="s">
        <v>224</v>
      </c>
      <c r="B8" s="5">
        <v>45077</v>
      </c>
      <c r="C8" s="10" t="str">
        <f>VLOOKUP(D8,Client!A$3:B$30,2,TRUE )</f>
        <v>C-119</v>
      </c>
      <c r="D8" t="s">
        <v>78</v>
      </c>
      <c r="E8" t="s">
        <v>114</v>
      </c>
      <c r="F8" t="s">
        <v>115</v>
      </c>
      <c r="G8" s="10" t="str">
        <f>VLOOKUP(H8,Department!A$3:B$6,2,TRUE)</f>
        <v>D-102</v>
      </c>
      <c r="H8" t="s">
        <v>158</v>
      </c>
      <c r="I8" s="10" t="str">
        <f>VLOOKUP(J8,State!A$3:B$6,2,TRUE)</f>
        <v>S-104</v>
      </c>
      <c r="J8" t="s">
        <v>159</v>
      </c>
      <c r="K8" s="10" t="str">
        <f>VLOOKUP(L8,Payment!A$3:B$7,2,TRUE)</f>
        <v>P-105</v>
      </c>
      <c r="L8" t="s">
        <v>51</v>
      </c>
      <c r="M8" s="8">
        <v>4625</v>
      </c>
      <c r="N8" s="8">
        <v>670</v>
      </c>
      <c r="O8" s="7">
        <f t="shared" si="0"/>
        <v>0.14486486486486486</v>
      </c>
    </row>
    <row r="9" spans="1:15" x14ac:dyDescent="0.25">
      <c r="A9" t="s">
        <v>225</v>
      </c>
      <c r="B9" s="5">
        <v>45077</v>
      </c>
      <c r="C9" s="10" t="str">
        <f>VLOOKUP(D9,Client!A$3:B$30,2,TRUE )</f>
        <v>C-105</v>
      </c>
      <c r="D9" t="s">
        <v>79</v>
      </c>
      <c r="E9" t="s">
        <v>116</v>
      </c>
      <c r="F9" t="s">
        <v>117</v>
      </c>
      <c r="G9" s="10" t="str">
        <f>VLOOKUP(H9,Department!A$3:B$6,2,TRUE)</f>
        <v>D-102</v>
      </c>
      <c r="H9" t="s">
        <v>158</v>
      </c>
      <c r="I9" s="10" t="str">
        <f>VLOOKUP(J9,State!A$3:B$6,2,TRUE)</f>
        <v>S-104</v>
      </c>
      <c r="J9" t="s">
        <v>159</v>
      </c>
      <c r="K9" s="10" t="str">
        <f>VLOOKUP(L9,Payment!A$3:B$7,2,TRUE)</f>
        <v>P-105</v>
      </c>
      <c r="L9" t="s">
        <v>51</v>
      </c>
      <c r="M9" s="8">
        <v>3800</v>
      </c>
      <c r="N9" s="8">
        <v>2045</v>
      </c>
      <c r="O9" s="7">
        <f t="shared" si="0"/>
        <v>0.53815789473684206</v>
      </c>
    </row>
    <row r="10" spans="1:15" x14ac:dyDescent="0.25">
      <c r="A10" t="s">
        <v>226</v>
      </c>
      <c r="B10" s="5">
        <v>45077</v>
      </c>
      <c r="C10" s="10" t="str">
        <f>VLOOKUP(D10,Client!A$3:B$30,2,TRUE )</f>
        <v>C-102</v>
      </c>
      <c r="D10" t="s">
        <v>80</v>
      </c>
      <c r="E10" t="s">
        <v>118</v>
      </c>
      <c r="F10" t="s">
        <v>119</v>
      </c>
      <c r="G10" s="10" t="str">
        <f>VLOOKUP(H10,Department!A$3:B$6,2,TRUE)</f>
        <v>D-102</v>
      </c>
      <c r="H10" t="s">
        <v>158</v>
      </c>
      <c r="I10" s="10" t="str">
        <f>VLOOKUP(J10,State!A$3:B$6,2,TRUE)</f>
        <v>S-104</v>
      </c>
      <c r="J10" t="s">
        <v>159</v>
      </c>
      <c r="K10" s="10" t="str">
        <f>VLOOKUP(L10,Payment!A$3:B$7,2,TRUE)</f>
        <v>P-101</v>
      </c>
      <c r="L10" t="s">
        <v>48</v>
      </c>
      <c r="M10" s="8">
        <v>3600</v>
      </c>
      <c r="N10" s="8">
        <v>1564</v>
      </c>
      <c r="O10" s="7">
        <f t="shared" si="0"/>
        <v>0.43444444444444447</v>
      </c>
    </row>
    <row r="11" spans="1:15" x14ac:dyDescent="0.25">
      <c r="A11" t="s">
        <v>227</v>
      </c>
      <c r="B11" s="5">
        <v>45077</v>
      </c>
      <c r="C11" s="10" t="str">
        <f>VLOOKUP(D11,Client!A$3:B$30,2,TRUE )</f>
        <v>C-127</v>
      </c>
      <c r="D11" t="s">
        <v>81</v>
      </c>
      <c r="E11" t="s">
        <v>120</v>
      </c>
      <c r="F11" t="s">
        <v>121</v>
      </c>
      <c r="G11" s="10" t="str">
        <f>VLOOKUP(H11,Department!A$3:B$6,2,TRUE)</f>
        <v>D-102</v>
      </c>
      <c r="H11" t="s">
        <v>158</v>
      </c>
      <c r="I11" s="10" t="str">
        <f>VLOOKUP(J11,State!A$3:B$6,2,TRUE)</f>
        <v>S-104</v>
      </c>
      <c r="J11" t="s">
        <v>159</v>
      </c>
      <c r="K11" s="10" t="str">
        <f>VLOOKUP(L11,Payment!A$3:B$7,2,TRUE)</f>
        <v>P-102</v>
      </c>
      <c r="L11" t="s">
        <v>50</v>
      </c>
      <c r="M11" s="8">
        <v>5100</v>
      </c>
      <c r="N11" s="8">
        <v>1220</v>
      </c>
      <c r="O11" s="7">
        <f t="shared" si="0"/>
        <v>0.23921568627450981</v>
      </c>
    </row>
    <row r="12" spans="1:15" x14ac:dyDescent="0.25">
      <c r="A12" t="s">
        <v>228</v>
      </c>
      <c r="B12" s="5">
        <v>45077</v>
      </c>
      <c r="C12" s="10" t="str">
        <f>VLOOKUP(D12,Client!A$3:B$30,2,TRUE )</f>
        <v>C-121</v>
      </c>
      <c r="D12" t="s">
        <v>82</v>
      </c>
      <c r="E12" t="s">
        <v>122</v>
      </c>
      <c r="F12" t="s">
        <v>123</v>
      </c>
      <c r="G12" s="10" t="str">
        <f>VLOOKUP(H12,Department!A$3:B$6,2,TRUE)</f>
        <v>D-102</v>
      </c>
      <c r="H12" t="s">
        <v>158</v>
      </c>
      <c r="I12" s="10" t="str">
        <f>VLOOKUP(J12,State!A$3:B$6,2,TRUE)</f>
        <v>S-104</v>
      </c>
      <c r="J12" t="s">
        <v>159</v>
      </c>
      <c r="K12" s="10" t="str">
        <f>VLOOKUP(L12,Payment!A$3:B$7,2,TRUE)</f>
        <v>P-102</v>
      </c>
      <c r="L12" t="s">
        <v>50</v>
      </c>
      <c r="M12" s="8">
        <v>4750</v>
      </c>
      <c r="N12" s="8">
        <v>1435</v>
      </c>
      <c r="O12" s="7">
        <f t="shared" si="0"/>
        <v>0.30210526315789471</v>
      </c>
    </row>
    <row r="13" spans="1:15" x14ac:dyDescent="0.25">
      <c r="A13" t="s">
        <v>229</v>
      </c>
      <c r="B13" s="5">
        <v>45077</v>
      </c>
      <c r="C13" s="10" t="str">
        <f>VLOOKUP(D13,Client!A$3:B$30,2,TRUE )</f>
        <v>C-107</v>
      </c>
      <c r="D13" t="s">
        <v>83</v>
      </c>
      <c r="E13" t="s">
        <v>124</v>
      </c>
      <c r="F13" t="s">
        <v>125</v>
      </c>
      <c r="G13" s="10" t="str">
        <f>VLOOKUP(H13,Department!A$3:B$6,2,TRUE)</f>
        <v>D-103</v>
      </c>
      <c r="H13" t="s">
        <v>162</v>
      </c>
      <c r="I13" s="10" t="str">
        <f>VLOOKUP(J13,State!A$3:B$6,2,TRUE)</f>
        <v>S-102</v>
      </c>
      <c r="J13" t="s">
        <v>163</v>
      </c>
      <c r="K13" s="10" t="str">
        <f>VLOOKUP(L13,Payment!A$3:B$7,2,TRUE)</f>
        <v>P-105</v>
      </c>
      <c r="L13" t="s">
        <v>51</v>
      </c>
      <c r="M13" s="8">
        <v>6000</v>
      </c>
      <c r="N13" s="8">
        <v>998</v>
      </c>
      <c r="O13" s="7">
        <f t="shared" si="0"/>
        <v>0.16633333333333333</v>
      </c>
    </row>
    <row r="14" spans="1:15" x14ac:dyDescent="0.25">
      <c r="A14" t="s">
        <v>230</v>
      </c>
      <c r="B14" s="5">
        <v>45077</v>
      </c>
      <c r="C14" s="10" t="str">
        <f>VLOOKUP(D14,Client!A$3:B$30,2,TRUE )</f>
        <v>C-117</v>
      </c>
      <c r="D14" t="s">
        <v>84</v>
      </c>
      <c r="E14" t="s">
        <v>126</v>
      </c>
      <c r="F14" t="s">
        <v>127</v>
      </c>
      <c r="G14" s="10" t="str">
        <f>VLOOKUP(H14,Department!A$3:B$6,2,TRUE)</f>
        <v>D-101</v>
      </c>
      <c r="H14" t="s">
        <v>164</v>
      </c>
      <c r="I14" s="10" t="str">
        <f>VLOOKUP(J14,State!A$3:B$6,2,TRUE)</f>
        <v>S-101</v>
      </c>
      <c r="J14" t="s">
        <v>165</v>
      </c>
      <c r="K14" s="10" t="str">
        <f>VLOOKUP(L14,Payment!A$3:B$7,2,TRUE)</f>
        <v>P-102</v>
      </c>
      <c r="L14" t="s">
        <v>50</v>
      </c>
      <c r="M14" s="8">
        <v>4500</v>
      </c>
      <c r="N14" s="8">
        <v>780</v>
      </c>
      <c r="O14" s="7">
        <f t="shared" si="0"/>
        <v>0.17333333333333334</v>
      </c>
    </row>
    <row r="15" spans="1:15" x14ac:dyDescent="0.25">
      <c r="A15" t="s">
        <v>231</v>
      </c>
      <c r="B15" s="5">
        <v>45078</v>
      </c>
      <c r="C15" s="10" t="str">
        <f>VLOOKUP(D15,Client!A$3:B$30,2,TRUE )</f>
        <v>C-109</v>
      </c>
      <c r="D15" t="s">
        <v>85</v>
      </c>
      <c r="E15" t="s">
        <v>128</v>
      </c>
      <c r="F15" t="s">
        <v>129</v>
      </c>
      <c r="G15" s="10" t="str">
        <f>VLOOKUP(H15,Department!A$3:B$6,2,TRUE)</f>
        <v>D-101</v>
      </c>
      <c r="H15" t="s">
        <v>164</v>
      </c>
      <c r="I15" s="10" t="str">
        <f>VLOOKUP(J15,State!A$3:B$6,2,TRUE)</f>
        <v>S-101</v>
      </c>
      <c r="J15" t="s">
        <v>165</v>
      </c>
      <c r="K15" s="10" t="str">
        <f>VLOOKUP(L15,Payment!A$3:B$7,2,TRUE)</f>
        <v>P-101</v>
      </c>
      <c r="L15" t="s">
        <v>48</v>
      </c>
      <c r="M15" s="8">
        <v>4994</v>
      </c>
      <c r="N15" s="8">
        <v>1044</v>
      </c>
      <c r="O15" s="7">
        <f t="shared" si="0"/>
        <v>0.20905086103323989</v>
      </c>
    </row>
    <row r="16" spans="1:15" x14ac:dyDescent="0.25">
      <c r="A16" t="s">
        <v>232</v>
      </c>
      <c r="B16" s="5">
        <v>45078</v>
      </c>
      <c r="C16" s="10" t="str">
        <f>VLOOKUP(D16,Client!A$3:B$30,2,TRUE )</f>
        <v>C-126</v>
      </c>
      <c r="D16" t="s">
        <v>86</v>
      </c>
      <c r="E16" t="s">
        <v>130</v>
      </c>
      <c r="F16" t="s">
        <v>131</v>
      </c>
      <c r="G16" s="10" t="str">
        <f>VLOOKUP(H16,Department!A$3:B$6,2,TRUE)</f>
        <v>D-101</v>
      </c>
      <c r="H16" t="s">
        <v>164</v>
      </c>
      <c r="I16" s="10" t="str">
        <f>VLOOKUP(J16,State!A$3:B$6,2,TRUE)</f>
        <v>S-101</v>
      </c>
      <c r="J16" t="s">
        <v>165</v>
      </c>
      <c r="K16" s="10" t="str">
        <f>VLOOKUP(L16,Payment!A$3:B$7,2,TRUE)</f>
        <v>P-105</v>
      </c>
      <c r="L16" t="s">
        <v>51</v>
      </c>
      <c r="M16" s="8">
        <v>3712.5</v>
      </c>
      <c r="N16" s="8">
        <v>1222</v>
      </c>
      <c r="O16" s="7">
        <f t="shared" si="0"/>
        <v>0.32915824915824915</v>
      </c>
    </row>
    <row r="17" spans="1:15" x14ac:dyDescent="0.25">
      <c r="A17" t="s">
        <v>233</v>
      </c>
      <c r="B17" s="5">
        <v>45078</v>
      </c>
      <c r="C17" s="10" t="str">
        <f>VLOOKUP(D17,Client!A$3:B$30,2,TRUE )</f>
        <v>C-124</v>
      </c>
      <c r="D17" t="s">
        <v>87</v>
      </c>
      <c r="E17" t="s">
        <v>132</v>
      </c>
      <c r="F17" t="s">
        <v>133</v>
      </c>
      <c r="G17" s="10" t="str">
        <f>VLOOKUP(H17,Department!A$3:B$6,2,TRUE)</f>
        <v>D-101</v>
      </c>
      <c r="H17" t="s">
        <v>164</v>
      </c>
      <c r="I17" s="10" t="str">
        <f>VLOOKUP(J17,State!A$3:B$6,2,TRUE)</f>
        <v>S-101</v>
      </c>
      <c r="J17" t="s">
        <v>165</v>
      </c>
      <c r="K17" s="10" t="str">
        <f>VLOOKUP(L17,Payment!A$3:B$7,2,TRUE)</f>
        <v>P-105</v>
      </c>
      <c r="L17" t="s">
        <v>51</v>
      </c>
      <c r="M17" s="8">
        <v>4950</v>
      </c>
      <c r="N17" s="8">
        <v>1065</v>
      </c>
      <c r="O17" s="7">
        <f t="shared" si="0"/>
        <v>0.21515151515151515</v>
      </c>
    </row>
    <row r="18" spans="1:15" x14ac:dyDescent="0.25">
      <c r="A18" t="s">
        <v>234</v>
      </c>
      <c r="B18" s="5">
        <v>45078</v>
      </c>
      <c r="C18" s="10" t="str">
        <f>VLOOKUP(D18,Client!A$3:B$30,2,TRUE )</f>
        <v>C-104</v>
      </c>
      <c r="D18" t="s">
        <v>88</v>
      </c>
      <c r="E18" t="s">
        <v>134</v>
      </c>
      <c r="F18" t="s">
        <v>135</v>
      </c>
      <c r="G18" s="10" t="str">
        <f>VLOOKUP(H18,Department!A$3:B$6,2,TRUE)</f>
        <v>D-103</v>
      </c>
      <c r="H18" t="s">
        <v>162</v>
      </c>
      <c r="I18" s="10" t="str">
        <f>VLOOKUP(J18,State!A$3:B$6,2,TRUE)</f>
        <v>S-102</v>
      </c>
      <c r="J18" t="s">
        <v>163</v>
      </c>
      <c r="K18" s="10" t="str">
        <f>VLOOKUP(L18,Payment!A$3:B$7,2,TRUE)</f>
        <v>P-105</v>
      </c>
      <c r="L18" t="s">
        <v>51</v>
      </c>
      <c r="M18" s="8">
        <v>4750</v>
      </c>
      <c r="N18" s="8">
        <v>810</v>
      </c>
      <c r="O18" s="7">
        <f t="shared" si="0"/>
        <v>0.17052631578947369</v>
      </c>
    </row>
    <row r="19" spans="1:15" x14ac:dyDescent="0.25">
      <c r="A19" t="s">
        <v>235</v>
      </c>
      <c r="B19" s="5">
        <v>45078</v>
      </c>
      <c r="C19" s="10" t="str">
        <f>VLOOKUP(D19,Client!A$3:B$30,2,TRUE )</f>
        <v>C-103</v>
      </c>
      <c r="D19" t="s">
        <v>89</v>
      </c>
      <c r="E19" t="s">
        <v>136</v>
      </c>
      <c r="F19" t="s">
        <v>137</v>
      </c>
      <c r="G19" s="10" t="str">
        <f>VLOOKUP(H19,Department!A$3:B$6,2,TRUE)</f>
        <v>D-103</v>
      </c>
      <c r="H19" t="s">
        <v>162</v>
      </c>
      <c r="I19" s="10" t="str">
        <f>VLOOKUP(J19,State!A$3:B$6,2,TRUE)</f>
        <v>S-102</v>
      </c>
      <c r="J19" t="s">
        <v>163</v>
      </c>
      <c r="K19" s="10" t="str">
        <f>VLOOKUP(L19,Payment!A$3:B$7,2,TRUE)</f>
        <v>P-105</v>
      </c>
      <c r="L19" t="s">
        <v>51</v>
      </c>
      <c r="M19" s="8">
        <v>7320</v>
      </c>
      <c r="N19" s="8">
        <v>933</v>
      </c>
      <c r="O19" s="7">
        <f t="shared" si="0"/>
        <v>0.12745901639344262</v>
      </c>
    </row>
    <row r="20" spans="1:15" x14ac:dyDescent="0.25">
      <c r="A20" t="s">
        <v>236</v>
      </c>
      <c r="B20" s="5">
        <v>45078</v>
      </c>
      <c r="C20" s="10" t="str">
        <f>VLOOKUP(D20,Client!A$3:B$30,2,TRUE )</f>
        <v>C-101</v>
      </c>
      <c r="D20" t="s">
        <v>90</v>
      </c>
      <c r="E20" t="s">
        <v>138</v>
      </c>
      <c r="F20" t="s">
        <v>139</v>
      </c>
      <c r="G20" s="10" t="str">
        <f>VLOOKUP(H20,Department!A$3:B$6,2,TRUE)</f>
        <v>D-101</v>
      </c>
      <c r="H20" t="s">
        <v>164</v>
      </c>
      <c r="I20" s="10" t="str">
        <f>VLOOKUP(J20,State!A$3:B$6,2,TRUE)</f>
        <v>S-101</v>
      </c>
      <c r="J20" t="s">
        <v>165</v>
      </c>
      <c r="K20" s="10" t="str">
        <f>VLOOKUP(L20,Payment!A$3:B$7,2,TRUE)</f>
        <v>P-105</v>
      </c>
      <c r="L20" t="s">
        <v>51</v>
      </c>
      <c r="M20" s="8">
        <v>5087.5</v>
      </c>
      <c r="N20" s="8">
        <v>655</v>
      </c>
      <c r="O20" s="7">
        <f t="shared" si="0"/>
        <v>0.12874692874692875</v>
      </c>
    </row>
    <row r="21" spans="1:15" x14ac:dyDescent="0.25">
      <c r="A21" t="s">
        <v>237</v>
      </c>
      <c r="B21" s="5">
        <v>45078</v>
      </c>
      <c r="C21" s="10" t="str">
        <f>VLOOKUP(D21,Client!A$3:B$30,2,TRUE )</f>
        <v>C-113</v>
      </c>
      <c r="D21" t="s">
        <v>91</v>
      </c>
      <c r="E21" t="s">
        <v>140</v>
      </c>
      <c r="F21" t="s">
        <v>141</v>
      </c>
      <c r="G21" s="10" t="str">
        <f>VLOOKUP(H21,Department!A$3:B$6,2,TRUE)</f>
        <v>D-101</v>
      </c>
      <c r="H21" t="s">
        <v>164</v>
      </c>
      <c r="I21" s="10" t="str">
        <f>VLOOKUP(J21,State!A$3:B$6,2,TRUE)</f>
        <v>S-101</v>
      </c>
      <c r="J21" t="s">
        <v>165</v>
      </c>
      <c r="K21" s="10" t="str">
        <f>VLOOKUP(L21,Payment!A$3:B$7,2,TRUE)</f>
        <v>P-105</v>
      </c>
      <c r="L21" t="s">
        <v>51</v>
      </c>
      <c r="M21" s="8">
        <v>4500</v>
      </c>
      <c r="N21" s="8">
        <v>722</v>
      </c>
      <c r="O21" s="7">
        <f t="shared" si="0"/>
        <v>0.16044444444444445</v>
      </c>
    </row>
    <row r="22" spans="1:15" x14ac:dyDescent="0.25">
      <c r="A22" t="s">
        <v>238</v>
      </c>
      <c r="B22" s="5">
        <v>45078</v>
      </c>
      <c r="C22" s="10" t="str">
        <f>VLOOKUP(D22,Client!A$3:B$30,2,TRUE )</f>
        <v>C-112</v>
      </c>
      <c r="D22" t="s">
        <v>92</v>
      </c>
      <c r="E22" t="s">
        <v>142</v>
      </c>
      <c r="F22" t="s">
        <v>143</v>
      </c>
      <c r="G22" s="10" t="str">
        <f>VLOOKUP(H22,Department!A$3:B$6,2,TRUE)</f>
        <v>D-101</v>
      </c>
      <c r="H22" t="s">
        <v>164</v>
      </c>
      <c r="I22" s="10" t="str">
        <f>VLOOKUP(J22,State!A$3:B$6,2,TRUE)</f>
        <v>S-101</v>
      </c>
      <c r="J22" t="s">
        <v>165</v>
      </c>
      <c r="K22" s="10" t="str">
        <f>VLOOKUP(L22,Payment!A$3:B$7,2,TRUE)</f>
        <v>P-101</v>
      </c>
      <c r="L22" t="s">
        <v>48</v>
      </c>
      <c r="M22" s="8">
        <v>4250</v>
      </c>
      <c r="N22" s="8">
        <v>901</v>
      </c>
      <c r="O22" s="7">
        <f t="shared" si="0"/>
        <v>0.21199999999999999</v>
      </c>
    </row>
    <row r="23" spans="1:15" x14ac:dyDescent="0.25">
      <c r="A23" t="s">
        <v>239</v>
      </c>
      <c r="B23" s="5">
        <v>45079</v>
      </c>
      <c r="C23" s="10" t="str">
        <f>VLOOKUP(D23,Client!A$3:B$30,2,TRUE )</f>
        <v>C-118</v>
      </c>
      <c r="D23" t="s">
        <v>93</v>
      </c>
      <c r="E23" t="s">
        <v>144</v>
      </c>
      <c r="F23" t="s">
        <v>145</v>
      </c>
      <c r="G23" s="10" t="str">
        <f>VLOOKUP(H23,Department!A$3:B$6,2,TRUE)</f>
        <v>D-101</v>
      </c>
      <c r="H23" t="s">
        <v>164</v>
      </c>
      <c r="I23" s="10" t="str">
        <f>VLOOKUP(J23,State!A$3:B$6,2,TRUE)</f>
        <v>S-101</v>
      </c>
      <c r="J23" t="s">
        <v>165</v>
      </c>
      <c r="K23" s="10" t="str">
        <f>VLOOKUP(L23,Payment!A$3:B$7,2,TRUE)</f>
        <v>P-104</v>
      </c>
      <c r="L23" t="s">
        <v>49</v>
      </c>
      <c r="M23" s="8">
        <v>5250</v>
      </c>
      <c r="N23" s="8">
        <v>1349</v>
      </c>
      <c r="O23" s="7">
        <f t="shared" si="0"/>
        <v>0.25695238095238093</v>
      </c>
    </row>
    <row r="24" spans="1:15" x14ac:dyDescent="0.25">
      <c r="A24" t="s">
        <v>240</v>
      </c>
      <c r="B24" s="5">
        <v>45079</v>
      </c>
      <c r="C24" s="10" t="str">
        <f>VLOOKUP(D24,Client!A$3:B$30,2,TRUE )</f>
        <v>C-106</v>
      </c>
      <c r="D24" t="s">
        <v>94</v>
      </c>
      <c r="E24" t="s">
        <v>146</v>
      </c>
      <c r="F24" t="s">
        <v>147</v>
      </c>
      <c r="G24" s="10" t="str">
        <f>VLOOKUP(H24,Department!A$3:B$6,2,TRUE)</f>
        <v>D-104</v>
      </c>
      <c r="H24" t="s">
        <v>160</v>
      </c>
      <c r="I24" s="10" t="str">
        <f>VLOOKUP(J24,State!A$3:B$6,2,TRUE)</f>
        <v>S-103</v>
      </c>
      <c r="J24" t="s">
        <v>161</v>
      </c>
      <c r="K24" s="10" t="str">
        <f>VLOOKUP(L24,Payment!A$3:B$7,2,TRUE)</f>
        <v>P-104</v>
      </c>
      <c r="L24" t="s">
        <v>49</v>
      </c>
      <c r="M24" s="8">
        <v>6500</v>
      </c>
      <c r="N24" s="8">
        <v>1288</v>
      </c>
      <c r="O24" s="7">
        <f t="shared" si="0"/>
        <v>0.19815384615384615</v>
      </c>
    </row>
    <row r="25" spans="1:15" x14ac:dyDescent="0.25">
      <c r="A25" t="s">
        <v>241</v>
      </c>
      <c r="B25" s="5">
        <v>45079</v>
      </c>
      <c r="C25" s="10" t="str">
        <f>VLOOKUP(D25,Client!A$3:B$30,2,TRUE )</f>
        <v>C-108</v>
      </c>
      <c r="D25" t="s">
        <v>95</v>
      </c>
      <c r="E25" t="s">
        <v>148</v>
      </c>
      <c r="F25" t="s">
        <v>149</v>
      </c>
      <c r="G25" s="10" t="str">
        <f>VLOOKUP(H25,Department!A$3:B$6,2,TRUE)</f>
        <v>D-104</v>
      </c>
      <c r="H25" t="s">
        <v>160</v>
      </c>
      <c r="I25" s="10" t="str">
        <f>VLOOKUP(J25,State!A$3:B$6,2,TRUE)</f>
        <v>S-103</v>
      </c>
      <c r="J25" t="s">
        <v>161</v>
      </c>
      <c r="K25" s="10" t="str">
        <f>VLOOKUP(L25,Payment!A$3:B$7,2,TRUE)</f>
        <v>P-104</v>
      </c>
      <c r="L25" t="s">
        <v>49</v>
      </c>
      <c r="M25" s="8">
        <v>7500</v>
      </c>
      <c r="N25" s="8">
        <v>1664</v>
      </c>
      <c r="O25" s="7">
        <f t="shared" si="0"/>
        <v>0.22186666666666666</v>
      </c>
    </row>
    <row r="26" spans="1:15" x14ac:dyDescent="0.25">
      <c r="A26" t="s">
        <v>242</v>
      </c>
      <c r="B26" s="5">
        <v>45079</v>
      </c>
      <c r="C26" s="10" t="str">
        <f>VLOOKUP(D26,Client!A$3:B$30,2,TRUE )</f>
        <v>C-114</v>
      </c>
      <c r="D26" t="s">
        <v>96</v>
      </c>
      <c r="E26" t="s">
        <v>150</v>
      </c>
      <c r="F26" t="s">
        <v>151</v>
      </c>
      <c r="G26" s="10" t="str">
        <f>VLOOKUP(H26,Department!A$3:B$6,2,TRUE)</f>
        <v>D-104</v>
      </c>
      <c r="H26" t="s">
        <v>160</v>
      </c>
      <c r="I26" s="10" t="str">
        <f>VLOOKUP(J26,State!A$3:B$6,2,TRUE)</f>
        <v>S-103</v>
      </c>
      <c r="J26" t="s">
        <v>161</v>
      </c>
      <c r="K26" s="10" t="str">
        <f>VLOOKUP(L26,Payment!A$3:B$7,2,TRUE)</f>
        <v>P-105</v>
      </c>
      <c r="L26" t="s">
        <v>51</v>
      </c>
      <c r="M26" s="8">
        <v>5500</v>
      </c>
      <c r="N26" s="8">
        <v>1320</v>
      </c>
      <c r="O26" s="7">
        <f t="shared" si="0"/>
        <v>0.24</v>
      </c>
    </row>
    <row r="27" spans="1:15" x14ac:dyDescent="0.25">
      <c r="A27" t="s">
        <v>243</v>
      </c>
      <c r="B27" s="5">
        <v>45079</v>
      </c>
      <c r="C27" s="10" t="str">
        <f>VLOOKUP(D27,Client!A$3:B$30,2,TRUE )</f>
        <v>C-110</v>
      </c>
      <c r="D27" t="s">
        <v>97</v>
      </c>
      <c r="E27" t="s">
        <v>152</v>
      </c>
      <c r="F27" t="s">
        <v>153</v>
      </c>
      <c r="G27" s="10" t="str">
        <f>VLOOKUP(H27,Department!A$3:B$6,2,TRUE)</f>
        <v>D-104</v>
      </c>
      <c r="H27" t="s">
        <v>160</v>
      </c>
      <c r="I27" s="10" t="str">
        <f>VLOOKUP(J27,State!A$3:B$6,2,TRUE)</f>
        <v>S-103</v>
      </c>
      <c r="J27" t="s">
        <v>161</v>
      </c>
      <c r="K27" s="10" t="str">
        <f>VLOOKUP(L27,Payment!A$3:B$7,2,TRUE)</f>
        <v>P-105</v>
      </c>
      <c r="L27" t="s">
        <v>51</v>
      </c>
      <c r="M27" s="8">
        <v>4625</v>
      </c>
      <c r="N27" s="8">
        <v>1001</v>
      </c>
      <c r="O27" s="7">
        <f t="shared" si="0"/>
        <v>0.21643243243243243</v>
      </c>
    </row>
    <row r="28" spans="1:15" x14ac:dyDescent="0.25">
      <c r="A28" t="s">
        <v>244</v>
      </c>
      <c r="B28" s="5">
        <v>45079</v>
      </c>
      <c r="C28" s="10" t="str">
        <f>VLOOKUP(D28,Client!A$3:B$30,2,TRUE )</f>
        <v>C-111</v>
      </c>
      <c r="D28" t="s">
        <v>98</v>
      </c>
      <c r="E28" t="s">
        <v>154</v>
      </c>
      <c r="F28" t="s">
        <v>155</v>
      </c>
      <c r="G28" s="10" t="str">
        <f>VLOOKUP(H28,Department!A$3:B$6,2,TRUE)</f>
        <v>D-104</v>
      </c>
      <c r="H28" t="s">
        <v>160</v>
      </c>
      <c r="I28" s="10" t="str">
        <f>VLOOKUP(J28,State!A$3:B$6,2,TRUE)</f>
        <v>S-103</v>
      </c>
      <c r="J28" t="s">
        <v>161</v>
      </c>
      <c r="K28" s="10" t="str">
        <f>VLOOKUP(L28,Payment!A$3:B$7,2,TRUE)</f>
        <v>P-105</v>
      </c>
      <c r="L28" t="s">
        <v>51</v>
      </c>
      <c r="M28" s="8">
        <v>4500</v>
      </c>
      <c r="N28" s="8">
        <v>960</v>
      </c>
      <c r="O28" s="7">
        <f t="shared" si="0"/>
        <v>0.21333333333333335</v>
      </c>
    </row>
    <row r="29" spans="1:15" x14ac:dyDescent="0.25">
      <c r="A29" t="s">
        <v>245</v>
      </c>
      <c r="B29" s="5">
        <v>45079</v>
      </c>
      <c r="C29" s="10" t="str">
        <f>VLOOKUP(D29,Client!A$3:B$30,2,TRUE )</f>
        <v>C-116</v>
      </c>
      <c r="D29" t="s">
        <v>99</v>
      </c>
      <c r="E29" t="s">
        <v>156</v>
      </c>
      <c r="F29" t="s">
        <v>157</v>
      </c>
      <c r="G29" s="10" t="str">
        <f>VLOOKUP(H29,Department!A$3:B$6,2,TRUE)</f>
        <v>D-104</v>
      </c>
      <c r="H29" t="s">
        <v>160</v>
      </c>
      <c r="I29" s="10" t="str">
        <f>VLOOKUP(J29,State!A$3:B$6,2,TRUE)</f>
        <v>S-103</v>
      </c>
      <c r="J29" t="s">
        <v>161</v>
      </c>
      <c r="K29" s="10" t="str">
        <f>VLOOKUP(L29,Payment!A$3:B$7,2,TRUE)</f>
        <v>P-101</v>
      </c>
      <c r="L29" t="s">
        <v>48</v>
      </c>
      <c r="M29" s="8">
        <v>5400</v>
      </c>
      <c r="N29" s="8">
        <v>540</v>
      </c>
      <c r="O29" s="7">
        <f t="shared" si="0"/>
        <v>0.1</v>
      </c>
    </row>
    <row r="33" spans="13:15" x14ac:dyDescent="0.25">
      <c r="M33" s="6"/>
      <c r="O33" s="1"/>
    </row>
    <row r="34" spans="13:15" x14ac:dyDescent="0.25">
      <c r="O34" s="1"/>
    </row>
    <row r="35" spans="13:15" x14ac:dyDescent="0.25">
      <c r="O35" s="1"/>
    </row>
    <row r="36" spans="13:15" x14ac:dyDescent="0.25">
      <c r="O36" s="1"/>
    </row>
    <row r="37" spans="13:15" x14ac:dyDescent="0.25">
      <c r="O37" s="1"/>
    </row>
    <row r="38" spans="13:15" x14ac:dyDescent="0.25">
      <c r="O38" s="1"/>
    </row>
    <row r="39" spans="13:15" x14ac:dyDescent="0.25">
      <c r="O39" s="1"/>
    </row>
    <row r="40" spans="13:15" x14ac:dyDescent="0.25">
      <c r="O40" s="1"/>
    </row>
    <row r="41" spans="13:15" x14ac:dyDescent="0.25">
      <c r="O41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2"/>
  <sheetViews>
    <sheetView zoomScale="115" zoomScaleNormal="115" workbookViewId="0">
      <selection activeCell="B1" sqref="B1:B1048576"/>
    </sheetView>
  </sheetViews>
  <sheetFormatPr defaultColWidth="11" defaultRowHeight="15.75" x14ac:dyDescent="0.25"/>
  <cols>
    <col min="1" max="1" width="14.75" customWidth="1"/>
    <col min="2" max="2" width="16.25" customWidth="1"/>
    <col min="3" max="3" width="15" bestFit="1" customWidth="1"/>
    <col min="4" max="4" width="14.625" bestFit="1" customWidth="1"/>
    <col min="5" max="5" width="16.875" bestFit="1" customWidth="1"/>
    <col min="6" max="6" width="8.75" bestFit="1" customWidth="1"/>
    <col min="7" max="7" width="16.875" bestFit="1" customWidth="1"/>
    <col min="8" max="8" width="16.875" customWidth="1"/>
    <col min="9" max="9" width="12.5" bestFit="1" customWidth="1"/>
    <col min="10" max="10" width="12.25" bestFit="1" customWidth="1"/>
    <col min="11" max="11" width="8.375" bestFit="1" customWidth="1"/>
    <col min="12" max="12" width="18.25" bestFit="1" customWidth="1"/>
  </cols>
  <sheetData>
    <row r="2" spans="1:2" ht="23.25" x14ac:dyDescent="0.35">
      <c r="A2" s="4" t="s">
        <v>47</v>
      </c>
      <c r="B2" s="4" t="s">
        <v>206</v>
      </c>
    </row>
    <row r="3" spans="1:2" x14ac:dyDescent="0.25">
      <c r="A3" t="s">
        <v>48</v>
      </c>
      <c r="B3" s="9" t="s">
        <v>207</v>
      </c>
    </row>
    <row r="4" spans="1:2" x14ac:dyDescent="0.25">
      <c r="A4" t="s">
        <v>50</v>
      </c>
      <c r="B4" s="9" t="s">
        <v>208</v>
      </c>
    </row>
    <row r="5" spans="1:2" x14ac:dyDescent="0.25">
      <c r="A5" t="s">
        <v>167</v>
      </c>
      <c r="B5" s="9" t="s">
        <v>209</v>
      </c>
    </row>
    <row r="6" spans="1:2" x14ac:dyDescent="0.25">
      <c r="A6" t="s">
        <v>49</v>
      </c>
      <c r="B6" s="9" t="s">
        <v>210</v>
      </c>
    </row>
    <row r="7" spans="1:2" x14ac:dyDescent="0.25">
      <c r="A7" t="s">
        <v>51</v>
      </c>
      <c r="B7" s="9" t="s">
        <v>211</v>
      </c>
    </row>
    <row r="34" spans="8:10" x14ac:dyDescent="0.25">
      <c r="H34" s="6"/>
      <c r="J34" s="1"/>
    </row>
    <row r="35" spans="8:10" x14ac:dyDescent="0.25">
      <c r="J35" s="1"/>
    </row>
    <row r="36" spans="8:10" x14ac:dyDescent="0.25">
      <c r="J36" s="1"/>
    </row>
    <row r="37" spans="8:10" x14ac:dyDescent="0.25">
      <c r="J37" s="1"/>
    </row>
    <row r="38" spans="8:10" x14ac:dyDescent="0.25">
      <c r="J38" s="1"/>
    </row>
    <row r="39" spans="8:10" x14ac:dyDescent="0.25">
      <c r="J39" s="1"/>
    </row>
    <row r="40" spans="8:10" x14ac:dyDescent="0.25">
      <c r="J40" s="1"/>
    </row>
    <row r="41" spans="8:10" x14ac:dyDescent="0.25">
      <c r="J41" s="1"/>
    </row>
    <row r="42" spans="8:10" x14ac:dyDescent="0.25">
      <c r="J42" s="1"/>
    </row>
  </sheetData>
  <sortState ref="A3:A30">
    <sortCondition ref="A3"/>
  </sortState>
  <conditionalFormatting sqref="A3:A7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2"/>
  <sheetViews>
    <sheetView zoomScale="115" zoomScaleNormal="115" workbookViewId="0">
      <selection sqref="A1:A1048576"/>
    </sheetView>
  </sheetViews>
  <sheetFormatPr defaultColWidth="11" defaultRowHeight="15.75" x14ac:dyDescent="0.25"/>
  <cols>
    <col min="1" max="1" width="10.375" customWidth="1"/>
    <col min="2" max="2" width="12.875" customWidth="1"/>
    <col min="3" max="3" width="15" bestFit="1" customWidth="1"/>
    <col min="4" max="4" width="14.625" bestFit="1" customWidth="1"/>
    <col min="5" max="5" width="16.875" bestFit="1" customWidth="1"/>
    <col min="6" max="6" width="8.75" bestFit="1" customWidth="1"/>
    <col min="7" max="7" width="16.875" bestFit="1" customWidth="1"/>
    <col min="8" max="8" width="16.875" customWidth="1"/>
    <col min="9" max="9" width="12.5" bestFit="1" customWidth="1"/>
    <col min="10" max="10" width="12.25" bestFit="1" customWidth="1"/>
    <col min="11" max="11" width="8.375" bestFit="1" customWidth="1"/>
    <col min="12" max="12" width="18.25" bestFit="1" customWidth="1"/>
  </cols>
  <sheetData>
    <row r="2" spans="1:2" ht="23.25" x14ac:dyDescent="0.35">
      <c r="A2" s="4" t="s">
        <v>166</v>
      </c>
      <c r="B2" s="4" t="s">
        <v>202</v>
      </c>
    </row>
    <row r="3" spans="1:2" x14ac:dyDescent="0.25">
      <c r="A3" t="s">
        <v>165</v>
      </c>
      <c r="B3" t="s">
        <v>171</v>
      </c>
    </row>
    <row r="4" spans="1:2" x14ac:dyDescent="0.25">
      <c r="A4" t="s">
        <v>163</v>
      </c>
      <c r="B4" t="s">
        <v>203</v>
      </c>
    </row>
    <row r="5" spans="1:2" x14ac:dyDescent="0.25">
      <c r="A5" t="s">
        <v>161</v>
      </c>
      <c r="B5" t="s">
        <v>204</v>
      </c>
    </row>
    <row r="6" spans="1:2" x14ac:dyDescent="0.25">
      <c r="A6" t="s">
        <v>159</v>
      </c>
      <c r="B6" t="s">
        <v>205</v>
      </c>
    </row>
    <row r="34" spans="8:10" x14ac:dyDescent="0.25">
      <c r="H34" s="6"/>
      <c r="J34" s="1"/>
    </row>
    <row r="35" spans="8:10" x14ac:dyDescent="0.25">
      <c r="J35" s="1"/>
    </row>
    <row r="36" spans="8:10" x14ac:dyDescent="0.25">
      <c r="J36" s="1"/>
    </row>
    <row r="37" spans="8:10" x14ac:dyDescent="0.25">
      <c r="J37" s="1"/>
    </row>
    <row r="38" spans="8:10" x14ac:dyDescent="0.25">
      <c r="J38" s="1"/>
    </row>
    <row r="39" spans="8:10" x14ac:dyDescent="0.25">
      <c r="J39" s="1"/>
    </row>
    <row r="40" spans="8:10" x14ac:dyDescent="0.25">
      <c r="J40" s="1"/>
    </row>
    <row r="41" spans="8:10" x14ac:dyDescent="0.25">
      <c r="J41" s="1"/>
    </row>
    <row r="42" spans="8:10" x14ac:dyDescent="0.25">
      <c r="J42" s="1"/>
    </row>
  </sheetData>
  <sortState ref="A3:A30">
    <sortCondition ref="A30"/>
  </sortState>
  <conditionalFormatting sqref="A3:A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zoomScale="115" zoomScaleNormal="115" workbookViewId="0">
      <selection activeCell="C3" sqref="C3"/>
    </sheetView>
  </sheetViews>
  <sheetFormatPr defaultColWidth="11" defaultRowHeight="15.75" x14ac:dyDescent="0.25"/>
  <cols>
    <col min="1" max="1" width="16.875" bestFit="1" customWidth="1"/>
    <col min="2" max="2" width="15" customWidth="1"/>
    <col min="3" max="3" width="18.25" bestFit="1" customWidth="1"/>
  </cols>
  <sheetData>
    <row r="2" spans="1:2" ht="23.25" x14ac:dyDescent="0.35">
      <c r="A2" s="4" t="s">
        <v>6</v>
      </c>
      <c r="B2" s="4" t="s">
        <v>201</v>
      </c>
    </row>
    <row r="3" spans="1:2" x14ac:dyDescent="0.25">
      <c r="A3" t="s">
        <v>164</v>
      </c>
      <c r="B3" s="9" t="s">
        <v>198</v>
      </c>
    </row>
    <row r="4" spans="1:2" x14ac:dyDescent="0.25">
      <c r="A4" t="s">
        <v>158</v>
      </c>
      <c r="B4" s="9" t="s">
        <v>199</v>
      </c>
    </row>
    <row r="5" spans="1:2" x14ac:dyDescent="0.25">
      <c r="A5" t="s">
        <v>162</v>
      </c>
      <c r="B5" s="9" t="s">
        <v>200</v>
      </c>
    </row>
    <row r="6" spans="1:2" x14ac:dyDescent="0.25">
      <c r="A6" t="s">
        <v>160</v>
      </c>
      <c r="B6" s="9" t="s">
        <v>212</v>
      </c>
    </row>
    <row r="7" spans="1:2" x14ac:dyDescent="0.25">
      <c r="B7" s="9"/>
    </row>
  </sheetData>
  <sortState ref="A3:B6">
    <sortCondition ref="A6"/>
  </sortState>
  <conditionalFormatting sqref="A3:A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zoomScale="115" zoomScaleNormal="115" workbookViewId="0">
      <selection activeCell="F10" sqref="F10"/>
    </sheetView>
  </sheetViews>
  <sheetFormatPr defaultColWidth="11" defaultRowHeight="15.75" x14ac:dyDescent="0.25"/>
  <cols>
    <col min="1" max="1" width="32.875" bestFit="1" customWidth="1"/>
    <col min="2" max="2" width="12.5" bestFit="1" customWidth="1"/>
    <col min="3" max="3" width="32.875" bestFit="1" customWidth="1"/>
    <col min="4" max="4" width="15" bestFit="1" customWidth="1"/>
    <col min="5" max="5" width="14.625" bestFit="1" customWidth="1"/>
    <col min="6" max="6" width="16.875" bestFit="1" customWidth="1"/>
    <col min="7" max="7" width="8.75" bestFit="1" customWidth="1"/>
    <col min="8" max="8" width="16.875" bestFit="1" customWidth="1"/>
    <col min="9" max="9" width="16.875" customWidth="1"/>
    <col min="10" max="10" width="12.5" bestFit="1" customWidth="1"/>
    <col min="11" max="11" width="12.25" bestFit="1" customWidth="1"/>
    <col min="12" max="12" width="8.375" bestFit="1" customWidth="1"/>
    <col min="13" max="13" width="18.25" bestFit="1" customWidth="1"/>
  </cols>
  <sheetData>
    <row r="1" spans="1:4" ht="17.25" customHeight="1" x14ac:dyDescent="0.25"/>
    <row r="2" spans="1:4" ht="23.25" x14ac:dyDescent="0.35">
      <c r="A2" s="4" t="s">
        <v>5</v>
      </c>
      <c r="B2" s="4" t="s">
        <v>168</v>
      </c>
      <c r="C2" s="4" t="s">
        <v>100</v>
      </c>
      <c r="D2" s="4" t="s">
        <v>101</v>
      </c>
    </row>
    <row r="3" spans="1:4" x14ac:dyDescent="0.25">
      <c r="A3" t="s">
        <v>72</v>
      </c>
      <c r="B3" t="s">
        <v>169</v>
      </c>
      <c r="C3" t="s">
        <v>102</v>
      </c>
      <c r="D3" t="s">
        <v>103</v>
      </c>
    </row>
    <row r="4" spans="1:4" x14ac:dyDescent="0.25">
      <c r="A4" t="s">
        <v>90</v>
      </c>
      <c r="B4" t="s">
        <v>170</v>
      </c>
      <c r="C4" t="s">
        <v>138</v>
      </c>
      <c r="D4" t="s">
        <v>139</v>
      </c>
    </row>
    <row r="5" spans="1:4" x14ac:dyDescent="0.25">
      <c r="A5" t="s">
        <v>80</v>
      </c>
      <c r="B5" t="s">
        <v>172</v>
      </c>
      <c r="C5" t="s">
        <v>118</v>
      </c>
      <c r="D5" t="s">
        <v>119</v>
      </c>
    </row>
    <row r="6" spans="1:4" x14ac:dyDescent="0.25">
      <c r="A6" t="s">
        <v>89</v>
      </c>
      <c r="B6" t="s">
        <v>173</v>
      </c>
      <c r="C6" t="s">
        <v>136</v>
      </c>
      <c r="D6" t="s">
        <v>137</v>
      </c>
    </row>
    <row r="7" spans="1:4" x14ac:dyDescent="0.25">
      <c r="A7" t="s">
        <v>88</v>
      </c>
      <c r="B7" t="s">
        <v>174</v>
      </c>
      <c r="C7" t="s">
        <v>134</v>
      </c>
      <c r="D7" t="s">
        <v>135</v>
      </c>
    </row>
    <row r="8" spans="1:4" x14ac:dyDescent="0.25">
      <c r="A8" t="s">
        <v>79</v>
      </c>
      <c r="B8" t="s">
        <v>175</v>
      </c>
      <c r="C8" t="s">
        <v>116</v>
      </c>
      <c r="D8" t="s">
        <v>117</v>
      </c>
    </row>
    <row r="9" spans="1:4" x14ac:dyDescent="0.25">
      <c r="A9" t="s">
        <v>94</v>
      </c>
      <c r="B9" t="s">
        <v>176</v>
      </c>
      <c r="C9" t="s">
        <v>146</v>
      </c>
      <c r="D9" t="s">
        <v>147</v>
      </c>
    </row>
    <row r="10" spans="1:4" x14ac:dyDescent="0.25">
      <c r="A10" t="s">
        <v>83</v>
      </c>
      <c r="B10" t="s">
        <v>177</v>
      </c>
      <c r="C10" t="s">
        <v>124</v>
      </c>
      <c r="D10" t="s">
        <v>125</v>
      </c>
    </row>
    <row r="11" spans="1:4" x14ac:dyDescent="0.25">
      <c r="A11" t="s">
        <v>95</v>
      </c>
      <c r="B11" t="s">
        <v>178</v>
      </c>
      <c r="C11" t="s">
        <v>148</v>
      </c>
      <c r="D11" t="s">
        <v>149</v>
      </c>
    </row>
    <row r="12" spans="1:4" x14ac:dyDescent="0.25">
      <c r="A12" t="s">
        <v>85</v>
      </c>
      <c r="B12" t="s">
        <v>179</v>
      </c>
      <c r="C12" t="s">
        <v>128</v>
      </c>
      <c r="D12" t="s">
        <v>129</v>
      </c>
    </row>
    <row r="13" spans="1:4" x14ac:dyDescent="0.25">
      <c r="A13" t="s">
        <v>97</v>
      </c>
      <c r="B13" t="s">
        <v>180</v>
      </c>
      <c r="C13" t="s">
        <v>152</v>
      </c>
      <c r="D13" t="s">
        <v>153</v>
      </c>
    </row>
    <row r="14" spans="1:4" x14ac:dyDescent="0.25">
      <c r="A14" t="s">
        <v>98</v>
      </c>
      <c r="B14" t="s">
        <v>181</v>
      </c>
      <c r="C14" t="s">
        <v>154</v>
      </c>
      <c r="D14" t="s">
        <v>155</v>
      </c>
    </row>
    <row r="15" spans="1:4" x14ac:dyDescent="0.25">
      <c r="A15" t="s">
        <v>92</v>
      </c>
      <c r="B15" t="s">
        <v>182</v>
      </c>
      <c r="C15" t="s">
        <v>142</v>
      </c>
      <c r="D15" t="s">
        <v>143</v>
      </c>
    </row>
    <row r="16" spans="1:4" x14ac:dyDescent="0.25">
      <c r="A16" t="s">
        <v>91</v>
      </c>
      <c r="B16" t="s">
        <v>183</v>
      </c>
      <c r="C16" t="s">
        <v>140</v>
      </c>
      <c r="D16" t="s">
        <v>141</v>
      </c>
    </row>
    <row r="17" spans="1:4" x14ac:dyDescent="0.25">
      <c r="A17" t="s">
        <v>96</v>
      </c>
      <c r="B17" t="s">
        <v>184</v>
      </c>
      <c r="C17" t="s">
        <v>150</v>
      </c>
      <c r="D17" t="s">
        <v>151</v>
      </c>
    </row>
    <row r="18" spans="1:4" x14ac:dyDescent="0.25">
      <c r="A18" t="s">
        <v>77</v>
      </c>
      <c r="B18" t="s">
        <v>185</v>
      </c>
      <c r="C18" t="s">
        <v>112</v>
      </c>
      <c r="D18" t="s">
        <v>113</v>
      </c>
    </row>
    <row r="19" spans="1:4" x14ac:dyDescent="0.25">
      <c r="A19" t="s">
        <v>99</v>
      </c>
      <c r="B19" t="s">
        <v>186</v>
      </c>
      <c r="C19" t="s">
        <v>156</v>
      </c>
      <c r="D19" t="s">
        <v>157</v>
      </c>
    </row>
    <row r="20" spans="1:4" x14ac:dyDescent="0.25">
      <c r="A20" t="s">
        <v>84</v>
      </c>
      <c r="B20" t="s">
        <v>187</v>
      </c>
      <c r="C20" t="s">
        <v>126</v>
      </c>
      <c r="D20" t="s">
        <v>127</v>
      </c>
    </row>
    <row r="21" spans="1:4" x14ac:dyDescent="0.25">
      <c r="A21" t="s">
        <v>93</v>
      </c>
      <c r="B21" t="s">
        <v>188</v>
      </c>
      <c r="C21" t="s">
        <v>144</v>
      </c>
      <c r="D21" t="s">
        <v>145</v>
      </c>
    </row>
    <row r="22" spans="1:4" x14ac:dyDescent="0.25">
      <c r="A22" t="s">
        <v>78</v>
      </c>
      <c r="B22" t="s">
        <v>189</v>
      </c>
      <c r="C22" t="s">
        <v>114</v>
      </c>
      <c r="D22" t="s">
        <v>115</v>
      </c>
    </row>
    <row r="23" spans="1:4" x14ac:dyDescent="0.25">
      <c r="A23" t="s">
        <v>74</v>
      </c>
      <c r="B23" t="s">
        <v>190</v>
      </c>
      <c r="C23" t="s">
        <v>106</v>
      </c>
      <c r="D23" t="s">
        <v>107</v>
      </c>
    </row>
    <row r="24" spans="1:4" x14ac:dyDescent="0.25">
      <c r="A24" t="s">
        <v>82</v>
      </c>
      <c r="B24" t="s">
        <v>191</v>
      </c>
      <c r="C24" t="s">
        <v>122</v>
      </c>
      <c r="D24" t="s">
        <v>123</v>
      </c>
    </row>
    <row r="25" spans="1:4" x14ac:dyDescent="0.25">
      <c r="A25" t="s">
        <v>73</v>
      </c>
      <c r="B25" t="s">
        <v>192</v>
      </c>
      <c r="C25" t="s">
        <v>104</v>
      </c>
      <c r="D25" t="s">
        <v>105</v>
      </c>
    </row>
    <row r="26" spans="1:4" x14ac:dyDescent="0.25">
      <c r="A26" t="s">
        <v>76</v>
      </c>
      <c r="B26" t="s">
        <v>193</v>
      </c>
      <c r="C26" t="s">
        <v>110</v>
      </c>
      <c r="D26" t="s">
        <v>111</v>
      </c>
    </row>
    <row r="27" spans="1:4" x14ac:dyDescent="0.25">
      <c r="A27" t="s">
        <v>87</v>
      </c>
      <c r="B27" t="s">
        <v>194</v>
      </c>
      <c r="C27" t="s">
        <v>132</v>
      </c>
      <c r="D27" t="s">
        <v>133</v>
      </c>
    </row>
    <row r="28" spans="1:4" x14ac:dyDescent="0.25">
      <c r="A28" t="s">
        <v>75</v>
      </c>
      <c r="B28" t="s">
        <v>195</v>
      </c>
      <c r="C28" t="s">
        <v>108</v>
      </c>
      <c r="D28" t="s">
        <v>109</v>
      </c>
    </row>
    <row r="29" spans="1:4" x14ac:dyDescent="0.25">
      <c r="A29" t="s">
        <v>86</v>
      </c>
      <c r="B29" t="s">
        <v>196</v>
      </c>
      <c r="C29" t="s">
        <v>130</v>
      </c>
      <c r="D29" t="s">
        <v>131</v>
      </c>
    </row>
    <row r="30" spans="1:4" x14ac:dyDescent="0.25">
      <c r="A30" t="s">
        <v>81</v>
      </c>
      <c r="B30" t="s">
        <v>197</v>
      </c>
      <c r="C30" t="s">
        <v>120</v>
      </c>
      <c r="D30" t="s">
        <v>121</v>
      </c>
    </row>
    <row r="34" spans="9:11" x14ac:dyDescent="0.25">
      <c r="I34" s="6"/>
      <c r="K34" s="1"/>
    </row>
    <row r="35" spans="9:11" x14ac:dyDescent="0.25">
      <c r="K35" s="1"/>
    </row>
    <row r="36" spans="9:11" x14ac:dyDescent="0.25">
      <c r="K36" s="1"/>
    </row>
    <row r="37" spans="9:11" x14ac:dyDescent="0.25">
      <c r="K37" s="1"/>
    </row>
    <row r="38" spans="9:11" x14ac:dyDescent="0.25">
      <c r="K38" s="1"/>
    </row>
    <row r="39" spans="9:11" x14ac:dyDescent="0.25">
      <c r="K39" s="1"/>
    </row>
    <row r="40" spans="9:11" x14ac:dyDescent="0.25">
      <c r="K40" s="1"/>
    </row>
    <row r="41" spans="9:11" x14ac:dyDescent="0.25">
      <c r="K41" s="1"/>
    </row>
    <row r="42" spans="9:11" x14ac:dyDescent="0.25">
      <c r="K42" s="1"/>
    </row>
  </sheetData>
  <sortState ref="A3:D30">
    <sortCondition ref="A3:A30"/>
    <sortCondition ref="C3:C30"/>
    <sortCondition ref="D3:D3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Dirty Data</vt:lpstr>
      <vt:lpstr>Clean</vt:lpstr>
      <vt:lpstr>Payment</vt:lpstr>
      <vt:lpstr>State</vt:lpstr>
      <vt:lpstr>Department</vt:lpstr>
      <vt:lpstr>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2023-05-29T07:26:35Z</dcterms:created>
  <dcterms:modified xsi:type="dcterms:W3CDTF">2026-02-06T09:46:24Z</dcterms:modified>
</cp:coreProperties>
</file>
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25125" windowHeight="12300" tabRatio="571" firstSheet="1" activeTab="7"/>
  </bookViews>
  <sheets>
    <sheet name="payment_Dim" sheetId="7" r:id="rId1"/>
    <sheet name="department_Dim" sheetId="5" r:id="rId2"/>
    <sheet name="state_Dim" sheetId="6" r:id="rId3"/>
    <sheet name="client_Dim" sheetId="4" r:id="rId4"/>
    <sheet name="Analysis" sheetId="9" r:id="rId5"/>
    <sheet name="revenue_Fact" sheetId="3" r:id="rId6"/>
    <sheet name="Dirty Data" sheetId="2" r:id="rId7"/>
    <sheet name="Dashboard" sheetId="10" r:id="rId8"/>
  </sheets>
  <definedNames>
    <definedName name="_xlcn.WorksheetConnection_Sales_Revenue_DatasetBautistaZherwin.xlsxclient_Dim1" hidden="1">client_Dim[]</definedName>
    <definedName name="_xlcn.WorksheetConnection_Sales_Revenue_DatasetBautistaZherwin.xlsxdepartment_Dim1" hidden="1">department_Dim[]</definedName>
    <definedName name="_xlcn.WorksheetConnection_Sales_Revenue_DatasetBautistaZherwin.xlsxpaymetn_DIm1" hidden="1">paymetn_DIm[]</definedName>
    <definedName name="_xlcn.WorksheetConnection_Sales_Revenue_DatasetBautistaZherwin.xlsxrevenue_Fact1" hidden="1">revenue_Fact[]</definedName>
    <definedName name="_xlcn.WorksheetConnection_Sales_Revenue_DatasetBautistaZherwin.xlsxstate_Dim1" hidden="1">state_Dim[]</definedName>
    <definedName name="Slicer_State">#N/A</definedName>
    <definedName name="Timeline_Date">#N/A</definedName>
  </definedNames>
  <calcPr calcId="162913"/>
  <pivotCaches>
    <pivotCache cacheId="113" r:id="rId9"/>
    <pivotCache cacheId="114" r:id="rId10"/>
    <pivotCache cacheId="115" r:id="rId11"/>
    <pivotCache cacheId="185" r:id="rId12"/>
    <pivotCache cacheId="188" r:id="rId13"/>
    <pivotCache cacheId="191" r:id="rId14"/>
    <pivotCache cacheId="194" r:id="rId15"/>
    <pivotCache cacheId="197" r:id="rId16"/>
  </pivotCaches>
  <extLst>
    <ext xmlns:x14="http://schemas.microsoft.com/office/spreadsheetml/2009/9/main" uri="{876F7934-8845-4945-9796-88D515C7AA90}">
      <x14:pivotCaches>
        <pivotCache cacheId="12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2"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te_Dim" name="state_Dim" connection="WorksheetConnection_Sales_Revenue_DatasetBautistaZherwin.xlsx!state_Dim"/>
          <x15:modelTable id="revenue_Fact" name="revenue_Fact" connection="WorksheetConnection_Sales_Revenue_DatasetBautistaZherwin.xlsx!revenue_Fact"/>
          <x15:modelTable id="paymetn_DIm" name="paymetn_DIm" connection="WorksheetConnection_Sales_Revenue_DatasetBautistaZherwin.xlsx!paymetn_DIm"/>
          <x15:modelTable id="department_Dim" name="department_Dim" connection="WorksheetConnection_Sales_Revenue_DatasetBautistaZherwin.xlsx!department_Dim"/>
          <x15:modelTable id="client_Dim" name="client_Dim" connection="WorksheetConnection_Sales_Revenue_DatasetBautistaZherwin.xlsx!client_Dim"/>
        </x15:modelTables>
        <x15:modelRelationships>
          <x15:modelRelationship fromTable="revenue_Fact" fromColumn="Client_id" toTable="client_Dim" toColumn="Clien_id"/>
          <x15:modelRelationship fromTable="revenue_Fact" fromColumn="Department_id" toTable="department_Dim" toColumn="Department_id"/>
          <x15:modelRelationship fromTable="revenue_Fact" fromColumn="Payment_id" toTable="paymetn_DIm" toColumn="Payment_id"/>
          <x15:modelRelationship fromTable="revenue_Fact" fromColumn="State_id" toTable="state_Dim" toColumn="State_id"/>
        </x15:modelRelationships>
        <x15:extLst>
          <ext xmlns:x16="http://schemas.microsoft.com/office/spreadsheetml/2014/11/main" uri="{9835A34E-60A6-4A7C-AAB8-D5F71C897F49}">
            <x16:modelTimeGroupings>
              <x16:modelTimeGrouping tableName="revenue_Fact"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0" l="1"/>
  <c r="I22" i="2" l="1"/>
  <c r="I21" i="2"/>
  <c r="I33" i="2"/>
  <c r="I32" i="2"/>
  <c r="I31" i="2"/>
  <c r="I30" i="2"/>
  <c r="I29" i="2"/>
  <c r="I28" i="2"/>
  <c r="I27" i="2"/>
  <c r="I26" i="2"/>
  <c r="I25" i="2"/>
  <c r="I24" i="2"/>
  <c r="I23" i="2"/>
  <c r="I20" i="2"/>
  <c r="I19" i="2"/>
  <c r="I18" i="2"/>
  <c r="I17" i="2"/>
  <c r="I16" i="2"/>
  <c r="I15" i="2"/>
  <c r="I14" i="2"/>
  <c r="I13" i="2"/>
  <c r="I12" i="2"/>
  <c r="I11" i="2"/>
  <c r="I10" i="2"/>
  <c r="I9" i="2"/>
  <c r="I8" i="2"/>
  <c r="I7" i="2"/>
  <c r="I6" i="2"/>
  <c r="I5" i="2"/>
  <c r="I4" i="2"/>
  <c r="I3" i="2"/>
  <c r="H6" i="10"/>
  <c r="K6" i="10"/>
  <c r="E6" i="10"/>
  <c r="C5" i="10"/>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les_Revenue_DatasetBautistaZherwin.xlsx!client_Dim" type="102" refreshedVersion="6" minRefreshableVersion="5">
    <extLst>
      <ext xmlns:x15="http://schemas.microsoft.com/office/spreadsheetml/2010/11/main" uri="{DE250136-89BD-433C-8126-D09CA5730AF9}">
        <x15:connection id="client_Dim">
          <x15:rangePr sourceName="_xlcn.WorksheetConnection_Sales_Revenue_DatasetBautistaZherwin.xlsxclient_Dim1"/>
        </x15:connection>
      </ext>
    </extLst>
  </connection>
  <connection id="3" name="WorksheetConnection_Sales_Revenue_DatasetBautistaZherwin.xlsx!department_Dim" type="102" refreshedVersion="6" minRefreshableVersion="5">
    <extLst>
      <ext xmlns:x15="http://schemas.microsoft.com/office/spreadsheetml/2010/11/main" uri="{DE250136-89BD-433C-8126-D09CA5730AF9}">
        <x15:connection id="department_Dim">
          <x15:rangePr sourceName="_xlcn.WorksheetConnection_Sales_Revenue_DatasetBautistaZherwin.xlsxdepartment_Dim1"/>
        </x15:connection>
      </ext>
    </extLst>
  </connection>
  <connection id="4" name="WorksheetConnection_Sales_Revenue_DatasetBautistaZherwin.xlsx!paymetn_DIm" type="102" refreshedVersion="6" minRefreshableVersion="5">
    <extLst>
      <ext xmlns:x15="http://schemas.microsoft.com/office/spreadsheetml/2010/11/main" uri="{DE250136-89BD-433C-8126-D09CA5730AF9}">
        <x15:connection id="paymetn_DIm">
          <x15:rangePr sourceName="_xlcn.WorksheetConnection_Sales_Revenue_DatasetBautistaZherwin.xlsxpaymetn_DIm1"/>
        </x15:connection>
      </ext>
    </extLst>
  </connection>
  <connection id="5" name="WorksheetConnection_Sales_Revenue_DatasetBautistaZherwin.xlsx!revenue_Fact" type="102" refreshedVersion="6" minRefreshableVersion="5">
    <extLst>
      <ext xmlns:x15="http://schemas.microsoft.com/office/spreadsheetml/2010/11/main" uri="{DE250136-89BD-433C-8126-D09CA5730AF9}">
        <x15:connection id="revenue_Fact">
          <x15:rangePr sourceName="_xlcn.WorksheetConnection_Sales_Revenue_DatasetBautistaZherwin.xlsxrevenue_Fact1"/>
        </x15:connection>
      </ext>
    </extLst>
  </connection>
  <connection id="6" name="WorksheetConnection_Sales_Revenue_DatasetBautistaZherwin.xlsx!state_Dim" type="102" refreshedVersion="6" minRefreshableVersion="5">
    <extLst>
      <ext xmlns:x15="http://schemas.microsoft.com/office/spreadsheetml/2010/11/main" uri="{DE250136-89BD-433C-8126-D09CA5730AF9}">
        <x15:connection id="state_Dim">
          <x15:rangePr sourceName="_xlcn.WorksheetConnection_Sales_Revenue_DatasetBautistaZherwin.xlsxstate_Dim1"/>
        </x15:connection>
      </ext>
    </extLst>
  </connection>
</connections>
</file>

<file path=xl/sharedStrings.xml><?xml version="1.0" encoding="utf-8"?>
<sst xmlns="http://schemas.openxmlformats.org/spreadsheetml/2006/main" count="467" uniqueCount="266">
  <si>
    <t>Date</t>
  </si>
  <si>
    <t>Contact</t>
  </si>
  <si>
    <t>Revenue</t>
  </si>
  <si>
    <t>Profit</t>
  </si>
  <si>
    <t>Profit Margin</t>
  </si>
  <si>
    <t>Client</t>
  </si>
  <si>
    <t>Department</t>
  </si>
  <si>
    <t>AMAZON.COM, INC. (XNAS:AMZN)</t>
  </si>
  <si>
    <t>TESLA, INC. (XNAS:TSLA)</t>
  </si>
  <si>
    <t>NETFLIX, INC. (XNAS:NFLX)</t>
  </si>
  <si>
    <t>THE PROCTER &amp; GAMBLE COMPANY (XNYS:PG)</t>
  </si>
  <si>
    <t>THE GOLDMAN SACHS GROUP, INC. (XNYS:GS)</t>
  </si>
  <si>
    <t>JPMORGAN CHASE &amp; CO. (XNYS:JPM)</t>
  </si>
  <si>
    <t>MORGAN STANLEY (XNYS:MS)</t>
  </si>
  <si>
    <t>CITIGROUP INC. (XNYS:C)</t>
  </si>
  <si>
    <t>BANK OF AMERICA CORPORATION (XNYS:BAC)</t>
  </si>
  <si>
    <t>WALMART INC. (XNYS:WMT)</t>
  </si>
  <si>
    <t>TARGET CORPORATION (XNYS:TGT)</t>
  </si>
  <si>
    <t>COSTCO WHOLESALE CORPORATION (XNAS:COST)</t>
  </si>
  <si>
    <t>MCDONALD'S CORPORATION (XNYS:MCD)</t>
  </si>
  <si>
    <t>EXXON MOBIL CORPORATION (XNYS:XOM)</t>
  </si>
  <si>
    <t>VERIZON COMMUNICATIONS INC. (XNYS:VZ)</t>
  </si>
  <si>
    <t>THE HOME DEPOT, INC. (XNYS:HD)</t>
  </si>
  <si>
    <t>CISCO SYSTEMS, INC. (XNAS:CSCO)</t>
  </si>
  <si>
    <t>CHEVRON CORPORATION (XNYS:CVX)</t>
  </si>
  <si>
    <t>AT&amp;T INC. (XNYS:T)</t>
  </si>
  <si>
    <t>INTEL CORPORATION (XNAS:INTC)</t>
  </si>
  <si>
    <t>GENERAL MOTORS COMPANY (XNYS:GM)</t>
  </si>
  <si>
    <t>MICROSOFT CORPORATION (XNAS:MSFT)</t>
  </si>
  <si>
    <t>COMCAST CORPORATION (XNAS:CMCSA)</t>
  </si>
  <si>
    <t>DELL TECHNOLOGIES INC. (XNYS:DELL)</t>
  </si>
  <si>
    <t>JOHNSON &amp; JOHNSON (XNYS:JNJ)</t>
  </si>
  <si>
    <t>FEDEX CORPORATION (XNYS:FDX)</t>
  </si>
  <si>
    <t>GENERAL ELECTRIC COMPANY (XNYS:GE)</t>
  </si>
  <si>
    <t>LOCKHEED MARTIN CORPORATION (XNYS:LMT)</t>
  </si>
  <si>
    <t>Nyla Novak</t>
  </si>
  <si>
    <t>Kylee Townsend</t>
  </si>
  <si>
    <t>Nora Rollins</t>
  </si>
  <si>
    <t>Lucia Mckay</t>
  </si>
  <si>
    <t>Mik Naam</t>
  </si>
  <si>
    <t xml:space="preserve">     Bill SmITH</t>
  </si>
  <si>
    <t>KEN Singh</t>
  </si>
  <si>
    <t xml:space="preserve">  Harley        Fritz</t>
  </si>
  <si>
    <t>David    Rasmussen</t>
  </si>
  <si>
    <t>IVAN HINEY</t>
  </si>
  <si>
    <t>JONha Ma</t>
  </si>
  <si>
    <t xml:space="preserve">     Jordan Boone</t>
  </si>
  <si>
    <t>Payment</t>
  </si>
  <si>
    <t>Card</t>
  </si>
  <si>
    <t>PayPal</t>
  </si>
  <si>
    <t>Check</t>
  </si>
  <si>
    <t>Transfer</t>
  </si>
  <si>
    <t>BRENDAN Wallace</t>
  </si>
  <si>
    <t xml:space="preserve">     Conor Wise</t>
  </si>
  <si>
    <t>Steven     MIChael</t>
  </si>
  <si>
    <t>JoSE   Roach</t>
  </si>
  <si>
    <t>Franklin WRIGT</t>
  </si>
  <si>
    <t xml:space="preserve">   Alia       Thornton</t>
  </si>
  <si>
    <t>Denzel        Flores</t>
  </si>
  <si>
    <t>Bruno CordOVA</t>
  </si>
  <si>
    <t>jaylynn   napp</t>
  </si>
  <si>
    <t>Bruce RICH</t>
  </si>
  <si>
    <t xml:space="preserve">     Arturo Moore</t>
  </si>
  <si>
    <t>Bryce     Carpenter</t>
  </si>
  <si>
    <t>Jaidyn ANDERSEN</t>
  </si>
  <si>
    <t>MARK WALM</t>
  </si>
  <si>
    <t>HARRY LEE</t>
  </si>
  <si>
    <t>JOSH JOHNSON</t>
  </si>
  <si>
    <t>Cloud Tech_Texas</t>
  </si>
  <si>
    <t>Strategy_New York</t>
  </si>
  <si>
    <t>Operations_Florida</t>
  </si>
  <si>
    <t>Big Data_California</t>
  </si>
  <si>
    <t xml:space="preserve">AMAZON.COM, INC. </t>
  </si>
  <si>
    <t xml:space="preserve">TESLA, INC. </t>
  </si>
  <si>
    <t xml:space="preserve">NETFLIX, INC. </t>
  </si>
  <si>
    <t xml:space="preserve">THE PROCTER &amp; GAMBLE COMPANY </t>
  </si>
  <si>
    <t xml:space="preserve">THE GOLDMAN SACHS GROUP, INC. </t>
  </si>
  <si>
    <t xml:space="preserve">JPMORGAN CHASE &amp; CO. </t>
  </si>
  <si>
    <t xml:space="preserve">MORGAN STANLEY </t>
  </si>
  <si>
    <t xml:space="preserve">CITIGROUP INC. </t>
  </si>
  <si>
    <t xml:space="preserve">BANK OF AMERICA CORPORATION </t>
  </si>
  <si>
    <t xml:space="preserve">WALMART INC. </t>
  </si>
  <si>
    <t xml:space="preserve">TARGET CORPORATION </t>
  </si>
  <si>
    <t xml:space="preserve">COSTCO WHOLESALE CORPORATION </t>
  </si>
  <si>
    <t xml:space="preserve">MCDONALD'S CORPORATION </t>
  </si>
  <si>
    <t xml:space="preserve">EXXON MOBIL CORPORATION </t>
  </si>
  <si>
    <t xml:space="preserve">VERIZON COMMUNICATIONS INC. </t>
  </si>
  <si>
    <t xml:space="preserve">THE HOME DEPOT, INC. </t>
  </si>
  <si>
    <t xml:space="preserve">CISCO SYSTEMS, INC. </t>
  </si>
  <si>
    <t xml:space="preserve">CHEVRON CORPORATION </t>
  </si>
  <si>
    <t xml:space="preserve">AT&amp;T INC. </t>
  </si>
  <si>
    <t xml:space="preserve">INTEL CORPORATION </t>
  </si>
  <si>
    <t xml:space="preserve">GENERAL MOTORS COMPANY </t>
  </si>
  <si>
    <t xml:space="preserve">MICROSOFT CORPORATION </t>
  </si>
  <si>
    <t xml:space="preserve">COMCAST CORPORATION </t>
  </si>
  <si>
    <t xml:space="preserve">DELL TECHNOLOGIES INC. </t>
  </si>
  <si>
    <t xml:space="preserve">JOHNSON &amp; JOHNSON </t>
  </si>
  <si>
    <t xml:space="preserve">FEDEX CORPORATION </t>
  </si>
  <si>
    <t xml:space="preserve">GENERAL ELECTRIC COMPANY </t>
  </si>
  <si>
    <t xml:space="preserve">LOCKHEED MARTIN CORPORATION </t>
  </si>
  <si>
    <t>First Name</t>
  </si>
  <si>
    <t>Last Name</t>
  </si>
  <si>
    <t>Bill</t>
  </si>
  <si>
    <t>Smith</t>
  </si>
  <si>
    <t>Ken</t>
  </si>
  <si>
    <t>Singh</t>
  </si>
  <si>
    <t>Harley</t>
  </si>
  <si>
    <t>Fritz</t>
  </si>
  <si>
    <t>Nyla</t>
  </si>
  <si>
    <t>Novak</t>
  </si>
  <si>
    <t>David</t>
  </si>
  <si>
    <t>Rasmussen</t>
  </si>
  <si>
    <t>Ivan</t>
  </si>
  <si>
    <t>Hiney</t>
  </si>
  <si>
    <t>Jonha</t>
  </si>
  <si>
    <t>Ma</t>
  </si>
  <si>
    <t>Jordan</t>
  </si>
  <si>
    <t>Boone</t>
  </si>
  <si>
    <t>Kylee</t>
  </si>
  <si>
    <t>Townsend</t>
  </si>
  <si>
    <t>Nora</t>
  </si>
  <si>
    <t>Rollins</t>
  </si>
  <si>
    <t>Brendan</t>
  </si>
  <si>
    <t>Wallace</t>
  </si>
  <si>
    <t>Conor</t>
  </si>
  <si>
    <t>Wise</t>
  </si>
  <si>
    <t>Steven</t>
  </si>
  <si>
    <t>Michael</t>
  </si>
  <si>
    <t>Lucia</t>
  </si>
  <si>
    <t>Mckay</t>
  </si>
  <si>
    <t>Jose</t>
  </si>
  <si>
    <t>Roach</t>
  </si>
  <si>
    <t>Franklin</t>
  </si>
  <si>
    <t>Wrigt</t>
  </si>
  <si>
    <t>Alia</t>
  </si>
  <si>
    <t>Thornton</t>
  </si>
  <si>
    <t>Denzel</t>
  </si>
  <si>
    <t>Flores</t>
  </si>
  <si>
    <t>Bruno</t>
  </si>
  <si>
    <t>Cordova</t>
  </si>
  <si>
    <t>Jaylynn</t>
  </si>
  <si>
    <t>Napp</t>
  </si>
  <si>
    <t>Bruce</t>
  </si>
  <si>
    <t>Rich</t>
  </si>
  <si>
    <t>Arturo</t>
  </si>
  <si>
    <t>Moore</t>
  </si>
  <si>
    <t>Bryce</t>
  </si>
  <si>
    <t>Carpenter</t>
  </si>
  <si>
    <t>Jaidyn</t>
  </si>
  <si>
    <t>Andersen</t>
  </si>
  <si>
    <t>Mark</t>
  </si>
  <si>
    <t>Walm</t>
  </si>
  <si>
    <t>Harry</t>
  </si>
  <si>
    <t>Lee</t>
  </si>
  <si>
    <t>Josh</t>
  </si>
  <si>
    <t>Johnson</t>
  </si>
  <si>
    <t>Mik</t>
  </si>
  <si>
    <t>Naam</t>
  </si>
  <si>
    <t>State</t>
  </si>
  <si>
    <t>Cloud Tech</t>
  </si>
  <si>
    <t>Texas</t>
  </si>
  <si>
    <t>Strategy</t>
  </si>
  <si>
    <t>New York</t>
  </si>
  <si>
    <t>Operations</t>
  </si>
  <si>
    <t>Florida</t>
  </si>
  <si>
    <t>Big Data</t>
  </si>
  <si>
    <t>California</t>
  </si>
  <si>
    <t>Others</t>
  </si>
  <si>
    <t>Clien_id</t>
  </si>
  <si>
    <t xml:space="preserve"> </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</si>
  <si>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</si>
  <si>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</si>
  <si>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</si>
  <si>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</si>
  <si>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</si>
  <si>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</si>
  <si>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</si>
  <si>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</si>
  <si>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</si>
  <si>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</si>
  <si>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</si>
  <si>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</si>
  <si>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</si>
  <si>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</si>
  <si>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</si>
  <si>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</si>
  <si>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</si>
  <si>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</si>
  <si>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</si>
  <si>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</si>
  <si>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</si>
  <si>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</si>
  <si>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</si>
  <si>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</si>
  <si>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</si>
  <si>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</si>
  <si>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</si>
  <si>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</si>
  <si>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State_id</t>
  </si>
  <si>
    <t>Department_id</t>
  </si>
  <si>
    <t>Payment_id</t>
  </si>
  <si>
    <t>Trans_id</t>
  </si>
  <si>
    <t>TR_101</t>
  </si>
  <si>
    <t>TR_102</t>
  </si>
  <si>
    <t>TR_103</t>
  </si>
  <si>
    <t>TR_104</t>
  </si>
  <si>
    <t>TR_105</t>
  </si>
  <si>
    <t>TR_106</t>
  </si>
  <si>
    <t>TR_107</t>
  </si>
  <si>
    <t>TR_108</t>
  </si>
  <si>
    <t>TR_109</t>
  </si>
  <si>
    <t>TR_110</t>
  </si>
  <si>
    <t>TR_111</t>
  </si>
  <si>
    <t>TR_112</t>
  </si>
  <si>
    <t>TR_113</t>
  </si>
  <si>
    <t>TR_114</t>
  </si>
  <si>
    <t>TR_115</t>
  </si>
  <si>
    <t>TR_116</t>
  </si>
  <si>
    <t>TR_117</t>
  </si>
  <si>
    <t>TR_118</t>
  </si>
  <si>
    <t>TR_119</t>
  </si>
  <si>
    <t>TR_120</t>
  </si>
  <si>
    <t>TR_121</t>
  </si>
  <si>
    <t>TR_122</t>
  </si>
  <si>
    <t>TR_123</t>
  </si>
  <si>
    <t>TR_124</t>
  </si>
  <si>
    <t>TR_125</t>
  </si>
  <si>
    <t>TR_126</t>
  </si>
  <si>
    <t>TR_127</t>
  </si>
  <si>
    <t>TR_128</t>
  </si>
  <si>
    <t>Client_id</t>
  </si>
  <si>
    <t>D-101</t>
  </si>
  <si>
    <t>D-102</t>
  </si>
  <si>
    <t>D-103</t>
  </si>
  <si>
    <t>D-104</t>
  </si>
  <si>
    <t>S-101</t>
  </si>
  <si>
    <t>S_102</t>
  </si>
  <si>
    <t>S-103</t>
  </si>
  <si>
    <t>S-104</t>
  </si>
  <si>
    <t>P-101</t>
  </si>
  <si>
    <t>P-102</t>
  </si>
  <si>
    <t>P-103</t>
  </si>
  <si>
    <t>P-104</t>
  </si>
  <si>
    <t>P-105</t>
  </si>
  <si>
    <t>TR-129</t>
  </si>
  <si>
    <t>Sum of Revenue</t>
  </si>
  <si>
    <t>Sum of Profit</t>
  </si>
  <si>
    <t>Average of Profit</t>
  </si>
  <si>
    <t>Average of Profit Margin</t>
  </si>
  <si>
    <t>1. Total Revenue</t>
  </si>
  <si>
    <t>2.Total Profit</t>
  </si>
  <si>
    <t>3. Average profit</t>
  </si>
  <si>
    <t>3-1 Average profit margin</t>
  </si>
  <si>
    <t>4.State with the highest revenue</t>
  </si>
  <si>
    <t>Total Revenue</t>
  </si>
  <si>
    <t>AMAZON.COM, INC.</t>
  </si>
  <si>
    <t>CHEVRON CORPORATION</t>
  </si>
  <si>
    <t>COMCAST CORPORATION</t>
  </si>
  <si>
    <t>DELL TECHNOLOGIES INC.</t>
  </si>
  <si>
    <t>LOCKHEED MARTIN CORPORATION</t>
  </si>
  <si>
    <t>5-1 State with client revenue</t>
  </si>
  <si>
    <t>top 5 clients</t>
  </si>
  <si>
    <t>May</t>
  </si>
  <si>
    <t>Jun</t>
  </si>
  <si>
    <t>6. display the month with the highest revenue</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</si>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</sst>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quot;$&quot;#,##0_);[Red]\(&quot;$&quot;#,##0\)"/>
    <numFmt numFmtId="165" formatCode="0.0%"/>
    <numFmt numFmtId="166" formatCode="mm/dd/yyyy;@"/>
    <numFmt numFmtId="167" formatCode="[$$-409]#,##0.00"/>
    <numFmt numFmtId="168" formatCode="m/d/yyyy;@"/>
    <numFmt numFmtId="169" formatCode="_-[$$-409]* #,##0.00_ ;_-[$$-409]* \-#,##0.00\ ;_-[$$-409]* &quot;-&quot;??_ ;_-@_ "/>
  </numFmts>
  <fonts count="5" x14ac:knownFonts="1">
    <font>
      <sz val="12"/>
      <color theme="1"/>
      <name val="Calibri"/>
      <family val="2"/>
      <scheme val="minor"/>
    </font>
    <font>
      <sz val="12"/>
      <color theme="1"/>
      <name val="Calibri"/>
      <family val="2"/>
      <scheme val="minor"/>
    </font>
    <font>
      <b/>
      <sz val="18"/>
      <color theme="1"/>
      <name val="Calibri"/>
      <family val="2"/>
      <scheme val="minor"/>
    </font>
    <font>
      <b/>
      <sz val="12"/>
      <color rgb="FFFF0000"/>
      <name val="Calibri"/>
      <family val="2"/>
      <scheme val="minor"/>
    </font>
    <font>
      <sz val="22"/>
      <color theme="0"/>
      <name val="Gill Sans Ultra Bold"/>
      <family val="2"/>
    </font>
  </fonts>
  <fills count="6">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rgb="FF7030A0"/>
        <bgColor indexed="64"/>
      </patternFill>
    </fill>
    <fill>
      <patternFill patternType="solid">
        <fgColor rgb="FFCC99F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164" fontId="0" fillId="0" borderId="0" xfId="0" applyNumberFormat="1" applyAlignment="1">
      <alignment horizontal="center"/>
    </xf>
    <xf numFmtId="165" fontId="0" fillId="0" borderId="0" xfId="1" applyNumberFormat="1" applyFont="1"/>
    <xf numFmtId="14" fontId="0" fillId="0" borderId="0" xfId="0" applyNumberFormat="1"/>
    <xf numFmtId="0" fontId="2" fillId="2" borderId="0" xfId="0" applyFont="1" applyFill="1" applyAlignment="1">
      <alignment horizontal="center"/>
    </xf>
    <xf numFmtId="164" fontId="0" fillId="0" borderId="0" xfId="0" applyNumberFormat="1" applyFill="1" applyAlignment="1">
      <alignment horizontal="center"/>
    </xf>
    <xf numFmtId="0" fontId="0" fillId="0" borderId="0" xfId="0" applyAlignment="1">
      <alignment horizontal="left"/>
    </xf>
    <xf numFmtId="0" fontId="0" fillId="3" borderId="0" xfId="0" applyFill="1" applyAlignment="1">
      <alignment horizontal="left"/>
    </xf>
    <xf numFmtId="168" fontId="0" fillId="0" borderId="0" xfId="0" applyNumberFormat="1" applyAlignment="1">
      <alignment horizontal="left"/>
    </xf>
    <xf numFmtId="166" fontId="0" fillId="0" borderId="0" xfId="0" applyNumberFormat="1" applyAlignment="1">
      <alignment horizontal="left"/>
    </xf>
    <xf numFmtId="167" fontId="0" fillId="0" borderId="0" xfId="0" applyNumberFormat="1" applyAlignment="1">
      <alignment horizontal="left"/>
    </xf>
    <xf numFmtId="9" fontId="0" fillId="0" borderId="0" xfId="1" applyNumberFormat="1" applyFont="1" applyAlignment="1">
      <alignment horizontal="left"/>
    </xf>
    <xf numFmtId="167" fontId="0" fillId="0" borderId="0" xfId="0" applyNumberFormat="1" applyFill="1" applyAlignment="1">
      <alignment horizontal="left"/>
    </xf>
    <xf numFmtId="0" fontId="0" fillId="0" borderId="0" xfId="0" pivotButton="1"/>
    <xf numFmtId="167" fontId="0" fillId="0" borderId="0" xfId="0" applyNumberFormat="1"/>
    <xf numFmtId="9" fontId="0" fillId="0" borderId="0" xfId="0" applyNumberFormat="1"/>
    <xf numFmtId="0" fontId="3" fillId="0" borderId="0" xfId="0" applyFont="1"/>
    <xf numFmtId="0" fontId="3" fillId="0" borderId="0" xfId="0" applyFont="1" applyAlignment="1">
      <alignment horizontal="center" wrapText="1"/>
    </xf>
    <xf numFmtId="0" fontId="0" fillId="0" borderId="0" xfId="0" applyAlignment="1">
      <alignment horizontal="center" wrapText="1"/>
    </xf>
    <xf numFmtId="0" fontId="0" fillId="4" borderId="0" xfId="0" applyFill="1"/>
    <xf numFmtId="0" fontId="0" fillId="5" borderId="0" xfId="0" applyFill="1"/>
    <xf numFmtId="167" fontId="0" fillId="5" borderId="0" xfId="0" applyNumberFormat="1" applyFill="1"/>
    <xf numFmtId="169" fontId="0" fillId="5" borderId="0" xfId="0" applyNumberFormat="1" applyFill="1"/>
    <xf numFmtId="9" fontId="0" fillId="5" borderId="0" xfId="1" applyFont="1" applyFill="1"/>
    <xf numFmtId="0" fontId="0" fillId="5" borderId="0" xfId="0" applyFill="1" applyAlignment="1">
      <alignment wrapText="1"/>
    </xf>
    <xf numFmtId="0" fontId="4" fillId="4" borderId="0" xfId="0" applyFont="1" applyFill="1" applyAlignment="1">
      <alignment horizontal="center" vertical="center"/>
    </xf>
  </cellXfs>
  <cellStyles count="2">
    <cellStyle name="Normal" xfId="0" builtinId="0"/>
    <cellStyle name="Percent" xfId="1" builtinId="5"/>
  </cellStyles>
  <dxfs count="28">
    <dxf>
      <font>
        <b val="0"/>
        <i val="0"/>
        <strike val="0"/>
        <condense val="0"/>
        <extend val="0"/>
        <outline val="0"/>
        <shadow val="0"/>
        <u val="none"/>
        <vertAlign val="baseline"/>
        <sz val="12"/>
        <color theme="1"/>
        <name val="Calibri"/>
        <scheme val="minor"/>
      </font>
      <numFmt numFmtId="13" formatCode="0%"/>
      <alignment horizontal="left" vertical="bottom" textRotation="0" wrapText="0" indent="0" justifyLastLine="0" shrinkToFit="0" readingOrder="0"/>
    </dxf>
    <dxf>
      <numFmt numFmtId="167" formatCode="[$$-409]#,##0.00"/>
      <alignment horizontal="left" vertical="bottom" textRotation="0" wrapText="0" indent="0" justifyLastLine="0" shrinkToFit="0" readingOrder="0"/>
    </dxf>
    <dxf>
      <numFmt numFmtId="167" formatCode="[$$-409]#,##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6" formatCode="mm/dd/yyyy;@"/>
      <alignment horizontal="left" vertical="bottom" textRotation="0" wrapText="0" indent="0" justifyLastLine="0" shrinkToFit="0" readingOrder="0"/>
    </dxf>
    <dxf>
      <numFmt numFmtId="168" formatCode="m/d/yyyy;@"/>
      <alignment horizontal="left" vertical="bottom" textRotation="0" wrapText="0" indent="0" justifyLastLine="0" shrinkToFit="0" readingOrder="0"/>
    </dxf>
    <dxf>
      <fill>
        <patternFill patternType="solid">
          <fgColor indexed="64"/>
          <bgColor theme="3" tint="0.79998168889431442"/>
        </patternFill>
      </fill>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
      <numFmt numFmtId="167" formatCode="[$$-409]#,##0.00"/>
    </dxf>
    <dxf>
      <numFmt numFmtId="167" formatCode="[$$-409]#,##0.00"/>
    </dxf>
    <dxf>
      <numFmt numFmtId="13" formatCode="0%"/>
    </dxf>
    <dxf>
      <numFmt numFmtId="165" formatCode="0.0%"/>
    </dxf>
    <dxf>
      <numFmt numFmtId="14" formatCode="0.00%"/>
    </dxf>
    <dxf>
      <numFmt numFmtId="170" formatCode="0.000%"/>
    </dxf>
    <dxf>
      <numFmt numFmtId="14" formatCode="0.00%"/>
    </dxf>
    <dxf>
      <numFmt numFmtId="167" formatCode="[$$-409]#,##0.00"/>
    </dxf>
    <dxf>
      <numFmt numFmtId="167" formatCode="[$$-409]#,##0.00"/>
    </dxf>
    <dxf>
      <numFmt numFmtId="167" formatCode="[$$-409]#,##0.00"/>
    </dxf>
    <dxf>
      <numFmt numFmtId="167" formatCode="[$$-409]#,##0.00"/>
    </dxf>
    <dxf>
      <numFmt numFmtId="167" formatCode="[$$-409]#,##0.00"/>
    </dxf>
    <dxf>
      <numFmt numFmtId="167" formatCode="[$$-409]#,##0.0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8"/>
        <color theme="1"/>
        <name val="Calibri"/>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11/relationships/timelineCache" Target="timelineCaches/timeline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0.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[GUTIERREZJCM-C302(final.xlsx]Analysis!P4_highest_state_rev</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Analysis!$A$9</c:f>
              <c:strCache>
                <c:ptCount val="1"/>
                <c:pt idx="0">
                  <c:v>Florida</c:v>
                </c:pt>
              </c:strCache>
            </c:strRef>
          </c:cat>
          <c:val>
            <c:numRef>
              <c:f>Analysis!$B$9</c:f>
              <c:numCache>
                <c:formatCode>[$$-409]#,##0.00</c:formatCode>
                <c:ptCount val="1"/>
                <c:pt idx="0">
                  <c:v>28064.224137931036</c:v>
                </c:pt>
              </c:numCache>
            </c:numRef>
          </c:val>
          <c:extLst>
            <c:ext xmlns:c16="http://schemas.microsoft.com/office/drawing/2014/chart" uri="{C3380CC4-5D6E-409C-BE32-E72D297353CC}">
              <c16:uniqueId val="{00000000-9D5C-48E3-90BD-0DDF493845E3}"/>
            </c:ext>
          </c:extLst>
        </c:ser>
        <c:dLbls>
          <c:dLblPos val="inEnd"/>
          <c:showLegendKey val="0"/>
          <c:showVal val="1"/>
          <c:showCatName val="0"/>
          <c:showSerName val="0"/>
          <c:showPercent val="0"/>
          <c:showBubbleSize val="0"/>
        </c:dLbls>
        <c:gapWidth val="65"/>
        <c:axId val="1319223648"/>
        <c:axId val="1319225728"/>
      </c:barChart>
      <c:catAx>
        <c:axId val="1319223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9225728"/>
        <c:crosses val="autoZero"/>
        <c:auto val="1"/>
        <c:lblAlgn val="ctr"/>
        <c:lblOffset val="100"/>
        <c:noMultiLvlLbl val="0"/>
      </c:catAx>
      <c:valAx>
        <c:axId val="13192257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3192236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[GUTIERREZJCM-C302(final.xlsx]Analysis!PivotTable13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Clients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Analysis!$E$9:$E$13</c:f>
              <c:strCache>
                <c:ptCount val="5"/>
                <c:pt idx="0">
                  <c:v>AMAZON.COM, INC.</c:v>
                </c:pt>
                <c:pt idx="1">
                  <c:v>LOCKHEED MARTIN CORPORATION</c:v>
                </c:pt>
                <c:pt idx="2">
                  <c:v>DELL TECHNOLOGIES INC.</c:v>
                </c:pt>
                <c:pt idx="3">
                  <c:v>CHEVRON CORPORATION</c:v>
                </c:pt>
                <c:pt idx="4">
                  <c:v>COMCAST CORPORATION</c:v>
                </c:pt>
              </c:strCache>
            </c:strRef>
          </c:cat>
          <c:val>
            <c:numRef>
              <c:f>Analysis!$F$9:$F$13</c:f>
              <c:numCache>
                <c:formatCode>[$$-409]#,##0.00</c:formatCode>
                <c:ptCount val="5"/>
                <c:pt idx="0">
                  <c:v>150000</c:v>
                </c:pt>
                <c:pt idx="1">
                  <c:v>10800</c:v>
                </c:pt>
                <c:pt idx="2">
                  <c:v>7500</c:v>
                </c:pt>
                <c:pt idx="3">
                  <c:v>7320</c:v>
                </c:pt>
                <c:pt idx="4">
                  <c:v>6500</c:v>
                </c:pt>
              </c:numCache>
            </c:numRef>
          </c:val>
          <c:extLst>
            <c:ext xmlns:c16="http://schemas.microsoft.com/office/drawing/2014/chart" uri="{C3380CC4-5D6E-409C-BE32-E72D297353CC}">
              <c16:uniqueId val="{00000000-41C6-4033-997D-06A733607BBF}"/>
            </c:ext>
          </c:extLst>
        </c:ser>
        <c:dLbls>
          <c:dLblPos val="inEnd"/>
          <c:showLegendKey val="0"/>
          <c:showVal val="1"/>
          <c:showCatName val="0"/>
          <c:showSerName val="0"/>
          <c:showPercent val="0"/>
          <c:showBubbleSize val="0"/>
        </c:dLbls>
        <c:gapWidth val="219"/>
        <c:overlap val="-27"/>
        <c:axId val="553707248"/>
        <c:axId val="553708912"/>
      </c:barChart>
      <c:catAx>
        <c:axId val="55370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08912"/>
        <c:crosses val="autoZero"/>
        <c:auto val="1"/>
        <c:lblAlgn val="ctr"/>
        <c:lblOffset val="100"/>
        <c:noMultiLvlLbl val="0"/>
      </c:catAx>
      <c:valAx>
        <c:axId val="55370891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0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[GUTIERREZJCM-C302(final.xlsx]Analysis!PivotTable12</c:name>
    <c:fmtId val="7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PH"/>
              <a:t>State Revenue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col"/>
        <c:grouping val="clustered"/>
        <c:varyColors val="0"/>
        <c:ser>
          <c:idx val="0"/>
          <c:order val="0"/>
          <c:tx>
            <c:strRef>
              <c:f>Analysis!$B$15</c:f>
              <c:strCache>
                <c:ptCount val="1"/>
                <c:pt idx="0">
                  <c:v>Total Revenue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Analysis!$A$16:$A$19</c:f>
              <c:strCache>
                <c:ptCount val="4"/>
                <c:pt idx="0">
                  <c:v>New York</c:v>
                </c:pt>
                <c:pt idx="1">
                  <c:v>Texas</c:v>
                </c:pt>
                <c:pt idx="2">
                  <c:v>California</c:v>
                </c:pt>
                <c:pt idx="3">
                  <c:v>Florida</c:v>
                </c:pt>
              </c:strCache>
            </c:strRef>
          </c:cat>
          <c:val>
            <c:numRef>
              <c:f>Analysis!$B$16:$B$19</c:f>
              <c:numCache>
                <c:formatCode>[$$-409]#,##0.00</c:formatCode>
                <c:ptCount val="4"/>
                <c:pt idx="0">
                  <c:v>41537.5</c:v>
                </c:pt>
                <c:pt idx="1">
                  <c:v>183375</c:v>
                </c:pt>
                <c:pt idx="2">
                  <c:v>37244.224137931036</c:v>
                </c:pt>
                <c:pt idx="3">
                  <c:v>28064.224137931036</c:v>
                </c:pt>
              </c:numCache>
            </c:numRef>
          </c:val>
          <c:extLst>
            <c:ext xmlns:c16="http://schemas.microsoft.com/office/drawing/2014/chart" uri="{C3380CC4-5D6E-409C-BE32-E72D297353CC}">
              <c16:uniqueId val="{00000000-28AF-42F1-97F1-71C3E20F0CDD}"/>
            </c:ext>
          </c:extLst>
        </c:ser>
        <c:ser>
          <c:idx val="1"/>
          <c:order val="1"/>
          <c:tx>
            <c:strRef>
              <c:f>Analysis!$C$15</c:f>
              <c:strCache>
                <c:ptCount val="1"/>
                <c:pt idx="0">
                  <c:v>Sum of Profit</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Analysis!$A$16:$A$19</c:f>
              <c:strCache>
                <c:ptCount val="4"/>
                <c:pt idx="0">
                  <c:v>New York</c:v>
                </c:pt>
                <c:pt idx="1">
                  <c:v>Texas</c:v>
                </c:pt>
                <c:pt idx="2">
                  <c:v>California</c:v>
                </c:pt>
                <c:pt idx="3">
                  <c:v>Florida</c:v>
                </c:pt>
              </c:strCache>
            </c:strRef>
          </c:cat>
          <c:val>
            <c:numRef>
              <c:f>Analysis!$C$16:$C$19</c:f>
              <c:numCache>
                <c:formatCode>[$$-409]#,##0.00</c:formatCode>
                <c:ptCount val="4"/>
                <c:pt idx="0">
                  <c:v>8827</c:v>
                </c:pt>
                <c:pt idx="1">
                  <c:v>8616</c:v>
                </c:pt>
                <c:pt idx="2">
                  <c:v>7738</c:v>
                </c:pt>
                <c:pt idx="3">
                  <c:v>4204</c:v>
                </c:pt>
              </c:numCache>
            </c:numRef>
          </c:val>
          <c:extLst>
            <c:ext xmlns:c16="http://schemas.microsoft.com/office/drawing/2014/chart" uri="{C3380CC4-5D6E-409C-BE32-E72D297353CC}">
              <c16:uniqueId val="{00000001-28AF-42F1-97F1-71C3E20F0CDD}"/>
            </c:ext>
          </c:extLst>
        </c:ser>
        <c:dLbls>
          <c:showLegendKey val="0"/>
          <c:showVal val="0"/>
          <c:showCatName val="0"/>
          <c:showSerName val="0"/>
          <c:showPercent val="0"/>
          <c:showBubbleSize val="0"/>
        </c:dLbls>
        <c:gapWidth val="100"/>
        <c:overlap val="-24"/>
        <c:axId val="1578329184"/>
        <c:axId val="1578323360"/>
      </c:barChart>
      <c:catAx>
        <c:axId val="157832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8323360"/>
        <c:crosses val="autoZero"/>
        <c:auto val="1"/>
        <c:lblAlgn val="ctr"/>
        <c:lblOffset val="100"/>
        <c:noMultiLvlLbl val="0"/>
      </c:catAx>
      <c:valAx>
        <c:axId val="157832336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8329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[GUTIERREZJCM-C302(final.xlsx]Analysis!PivotTable15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Analysis!$B$24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6FA-4A0F-862E-4CE173E9681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6FA-4A0F-862E-4CE173E9681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Analysis!$A$25:$A$26</c:f>
              <c:strCache>
                <c:ptCount val="2"/>
                <c:pt idx="0">
                  <c:v>May</c:v>
                </c:pt>
                <c:pt idx="1">
                  <c:v>Jun</c:v>
                </c:pt>
              </c:strCache>
            </c:strRef>
          </c:cat>
          <c:val>
            <c:numRef>
              <c:f>Analysis!$B$25:$B$26</c:f>
              <c:numCache>
                <c:formatCode>[$$-409]#,##0.00</c:formatCode>
                <c:ptCount val="2"/>
                <c:pt idx="0">
                  <c:v>15994.224137931034</c:v>
                </c:pt>
                <c:pt idx="1">
                  <c:v>12070</c:v>
                </c:pt>
              </c:numCache>
            </c:numRef>
          </c:val>
          <c:extLst>
            <c:ext xmlns:c16="http://schemas.microsoft.com/office/drawing/2014/chart" uri="{C3380CC4-5D6E-409C-BE32-E72D297353CC}">
              <c16:uniqueId val="{00000006-DD61-4EB4-B0F2-163F4974551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[GUTIERREZJCM-C302(final.xlsx]Analysis!P4_highest_state_rev</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 REVENUE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Analysis!$B$8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Analysis!$A$9</c:f>
              <c:strCache>
                <c:ptCount val="1"/>
                <c:pt idx="0">
                  <c:v>Florida</c:v>
                </c:pt>
              </c:strCache>
            </c:strRef>
          </c:cat>
          <c:val>
            <c:numRef>
              <c:f>Analysis!$B$9</c:f>
              <c:numCache>
                <c:formatCode>[$$-409]#,##0.00</c:formatCode>
                <c:ptCount val="1"/>
                <c:pt idx="0">
                  <c:v>28064.224137931036</c:v>
                </c:pt>
              </c:numCache>
            </c:numRef>
          </c:val>
          <c:extLst>
            <c:ext xmlns:c16="http://schemas.microsoft.com/office/drawing/2014/chart" uri="{C3380CC4-5D6E-409C-BE32-E72D297353CC}">
              <c16:uniqueId val="{00000000-CCD6-4A67-8505-12C3E159D4E1}"/>
            </c:ext>
          </c:extLst>
        </c:ser>
        <c:dLbls>
          <c:dLblPos val="inEnd"/>
          <c:showLegendKey val="0"/>
          <c:showVal val="1"/>
          <c:showCatName val="0"/>
          <c:showSerName val="0"/>
          <c:showPercent val="0"/>
          <c:showBubbleSize val="0"/>
        </c:dLbls>
        <c:gapWidth val="65"/>
        <c:axId val="1319223648"/>
        <c:axId val="1319225728"/>
      </c:barChart>
      <c:catAx>
        <c:axId val="1319223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9225728"/>
        <c:crosses val="autoZero"/>
        <c:auto val="1"/>
        <c:lblAlgn val="ctr"/>
        <c:lblOffset val="100"/>
        <c:noMultiLvlLbl val="0"/>
      </c:catAx>
      <c:valAx>
        <c:axId val="13192257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409]#,##0.00" sourceLinked="1"/>
        <c:majorTickMark val="none"/>
        <c:minorTickMark val="none"/>
        <c:tickLblPos val="nextTo"/>
        <c:crossAx val="13192236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[GUTIERREZJCM-C302(final.xlsx]Analysis!PivotTable15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Per Month</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Analysis!$B$24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22-4544-AF25-DC8AFC67C02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22-4544-AF25-DC8AFC67C02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Analysis!$A$25:$A$26</c:f>
              <c:strCache>
                <c:ptCount val="2"/>
                <c:pt idx="0">
                  <c:v>May</c:v>
                </c:pt>
                <c:pt idx="1">
                  <c:v>Jun</c:v>
                </c:pt>
              </c:strCache>
            </c:strRef>
          </c:cat>
          <c:val>
            <c:numRef>
              <c:f>Analysis!$B$25:$B$26</c:f>
              <c:numCache>
                <c:formatCode>[$$-409]#,##0.00</c:formatCode>
                <c:ptCount val="2"/>
                <c:pt idx="0">
                  <c:v>15994.224137931034</c:v>
                </c:pt>
                <c:pt idx="1">
                  <c:v>12070</c:v>
                </c:pt>
              </c:numCache>
            </c:numRef>
          </c:val>
          <c:extLst>
            <c:ext xmlns:c16="http://schemas.microsoft.com/office/drawing/2014/chart" uri="{C3380CC4-5D6E-409C-BE32-E72D297353CC}">
              <c16:uniqueId val="{00000005-A928-4C39-AF3C-BE8C398FBC0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7</xdr:col>
      <xdr:colOff>212911</xdr:colOff>
      <xdr:row>21</xdr:row>
      <xdr:rowOff>96369</xdr:rowOff>
    </xdr:from>
    <xdr:to>
      <xdr:col>12</xdr:col>
      <xdr:colOff>89646</xdr:colOff>
      <xdr:row>33</xdr:row>
      <xdr:rowOff>150158</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364191</xdr:colOff>
      <xdr:row>21</xdr:row>
      <xdr:rowOff>96369</xdr:rowOff>
    </xdr:from>
    <xdr:to>
      <xdr:col>6</xdr:col>
      <xdr:colOff>1686485</xdr:colOff>
      <xdr:row>33</xdr:row>
      <xdr:rowOff>150158</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217714</xdr:colOff>
      <xdr:row>35</xdr:row>
      <xdr:rowOff>190501</xdr:rowOff>
    </xdr:from>
    <xdr:to>
      <xdr:col>6</xdr:col>
      <xdr:colOff>1552014</xdr:colOff>
      <xdr:row>49</xdr:row>
      <xdr:rowOff>127749</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88446</xdr:colOff>
      <xdr:row>35</xdr:row>
      <xdr:rowOff>193221</xdr:rowOff>
    </xdr:from>
    <xdr:to>
      <xdr:col>11</xdr:col>
      <xdr:colOff>659946</xdr:colOff>
      <xdr:row>49</xdr:row>
      <xdr:rowOff>78921</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180976</xdr:colOff>
      <xdr:row>4</xdr:row>
      <xdr:rowOff>47626</xdr:rowOff>
    </xdr:from>
    <xdr:to>
      <xdr:col>3</xdr:col>
      <xdr:colOff>457200</xdr:colOff>
      <xdr:row>6</xdr:row>
      <xdr:rowOff>161925</xdr:rowOff>
    </xdr:to>
    <xdr:sp macro="" textlink="">
      <xdr:nvSpPr>
        <xdr:cNvPr id="4" name="Round Diagonal Corner Rectangle 3"/>
        <xdr:cNvSpPr/>
      </xdr:nvSpPr>
      <xdr:spPr>
        <a:xfrm>
          <a:off x="1638301" y="847726"/>
          <a:ext cx="1800224" cy="514349"/>
        </a:xfrm>
        <a:prstGeom prst="round2Diag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PH" sz="1100">
              <a:solidFill>
                <a:srgbClr val="FFFF00"/>
              </a:solidFill>
            </a:rPr>
            <a:t>TOTAL</a:t>
          </a:r>
          <a:r>
            <a:rPr lang="en-PH" sz="1100" baseline="0">
              <a:solidFill>
                <a:srgbClr val="FFFF00"/>
              </a:solidFill>
            </a:rPr>
            <a:t> PROFIT</a:t>
          </a:r>
          <a:endParaRPr lang="en-PH" sz="1100">
            <a:solidFill>
              <a:srgbClr val="FFFF00"/>
            </a:solidFill>
          </a:endParaRPr>
        </a:p>
      </xdr:txBody>
    </xdr:sp>
    <xdr:clientData/>
  </xdr:twoCellAnchor>
  <xdr:twoCellAnchor>
    <xdr:from>
      <xdr:col>3</xdr:col>
      <xdr:colOff>581024</xdr:colOff>
      <xdr:row>4</xdr:row>
      <xdr:rowOff>38101</xdr:rowOff>
    </xdr:from>
    <xdr:to>
      <xdr:col>6</xdr:col>
      <xdr:colOff>190499</xdr:colOff>
      <xdr:row>6</xdr:row>
      <xdr:rowOff>152400</xdr:rowOff>
    </xdr:to>
    <xdr:sp macro="" textlink="">
      <xdr:nvSpPr>
        <xdr:cNvPr id="11" name="Round Diagonal Corner Rectangle 10"/>
        <xdr:cNvSpPr/>
      </xdr:nvSpPr>
      <xdr:spPr>
        <a:xfrm>
          <a:off x="3562349" y="838201"/>
          <a:ext cx="1819275" cy="514349"/>
        </a:xfrm>
        <a:prstGeom prst="round2Diag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PH" sz="1100">
              <a:solidFill>
                <a:srgbClr val="FFFF00"/>
              </a:solidFill>
            </a:rPr>
            <a:t>TOTAL</a:t>
          </a:r>
          <a:r>
            <a:rPr lang="en-PH" sz="1100" baseline="0">
              <a:solidFill>
                <a:srgbClr val="FFFF00"/>
              </a:solidFill>
            </a:rPr>
            <a:t> PROFIT</a:t>
          </a:r>
          <a:endParaRPr lang="en-PH" sz="1100">
            <a:solidFill>
              <a:srgbClr val="FFFF00"/>
            </a:solidFill>
          </a:endParaRPr>
        </a:p>
      </xdr:txBody>
    </xdr:sp>
    <xdr:clientData/>
  </xdr:twoCellAnchor>
  <xdr:twoCellAnchor>
    <xdr:from>
      <xdr:col>6</xdr:col>
      <xdr:colOff>285750</xdr:colOff>
      <xdr:row>4</xdr:row>
      <xdr:rowOff>57151</xdr:rowOff>
    </xdr:from>
    <xdr:to>
      <xdr:col>8</xdr:col>
      <xdr:colOff>609600</xdr:colOff>
      <xdr:row>6</xdr:row>
      <xdr:rowOff>171450</xdr:rowOff>
    </xdr:to>
    <xdr:sp macro="" textlink="">
      <xdr:nvSpPr>
        <xdr:cNvPr id="12" name="Round Diagonal Corner Rectangle 11"/>
        <xdr:cNvSpPr/>
      </xdr:nvSpPr>
      <xdr:spPr>
        <a:xfrm>
          <a:off x="5476875" y="857251"/>
          <a:ext cx="1771650" cy="514349"/>
        </a:xfrm>
        <a:prstGeom prst="round2Diag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PH" sz="1100">
              <a:solidFill>
                <a:srgbClr val="FFFF00"/>
              </a:solidFill>
            </a:rPr>
            <a:t>AVERAGE PROFIT</a:t>
          </a:r>
        </a:p>
      </xdr:txBody>
    </xdr:sp>
    <xdr:clientData/>
  </xdr:twoCellAnchor>
  <xdr:twoCellAnchor>
    <xdr:from>
      <xdr:col>9</xdr:col>
      <xdr:colOff>85726</xdr:colOff>
      <xdr:row>4</xdr:row>
      <xdr:rowOff>57151</xdr:rowOff>
    </xdr:from>
    <xdr:to>
      <xdr:col>11</xdr:col>
      <xdr:colOff>466726</xdr:colOff>
      <xdr:row>6</xdr:row>
      <xdr:rowOff>171450</xdr:rowOff>
    </xdr:to>
    <xdr:sp macro="" textlink="">
      <xdr:nvSpPr>
        <xdr:cNvPr id="13" name="Round Diagonal Corner Rectangle 12"/>
        <xdr:cNvSpPr/>
      </xdr:nvSpPr>
      <xdr:spPr>
        <a:xfrm>
          <a:off x="7410451" y="857251"/>
          <a:ext cx="1752600" cy="514349"/>
        </a:xfrm>
        <a:prstGeom prst="round2DiagRect">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PH" sz="1100">
              <a:solidFill>
                <a:srgbClr val="FFFF00"/>
              </a:solidFill>
            </a:rPr>
            <a:t>AVE PROFIT MARGIN</a:t>
          </a:r>
        </a:p>
      </xdr:txBody>
    </xdr:sp>
    <xdr:clientData/>
  </xdr:twoCellAnchor>
  <xdr:twoCellAnchor>
    <xdr:from>
      <xdr:col>1</xdr:col>
      <xdr:colOff>609600</xdr:colOff>
      <xdr:row>4</xdr:row>
      <xdr:rowOff>85725</xdr:rowOff>
    </xdr:from>
    <xdr:to>
      <xdr:col>3</xdr:col>
      <xdr:colOff>38100</xdr:colOff>
      <xdr:row>5</xdr:row>
      <xdr:rowOff>123825</xdr:rowOff>
    </xdr:to>
    <xdr:sp macro="" textlink="C5">
      <xdr:nvSpPr>
        <xdr:cNvPr id="14" name="TextBox 13"/>
        <xdr:cNvSpPr txBox="1"/>
      </xdr:nvSpPr>
      <xdr:spPr>
        <a:xfrm>
          <a:off x="2066925" y="885825"/>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D8B098-B3ED-4544-8F84-DAAD1D7E339D}" type="TxLink">
            <a:rPr lang="en-US" sz="1200" b="0" i="0" u="none" strike="noStrike">
              <a:solidFill>
                <a:schemeClr val="bg1"/>
              </a:solidFill>
              <a:latin typeface="Calibri"/>
              <a:cs typeface="Calibri"/>
            </a:rPr>
            <a:pPr/>
            <a:t>$28,064.22</a:t>
          </a:fld>
          <a:endParaRPr lang="en-PH" sz="1100">
            <a:solidFill>
              <a:schemeClr val="bg1"/>
            </a:solidFill>
          </a:endParaRPr>
        </a:p>
      </xdr:txBody>
    </xdr:sp>
    <xdr:clientData/>
  </xdr:twoCellAnchor>
  <xdr:twoCellAnchor>
    <xdr:from>
      <xdr:col>4</xdr:col>
      <xdr:colOff>295275</xdr:colOff>
      <xdr:row>4</xdr:row>
      <xdr:rowOff>66675</xdr:rowOff>
    </xdr:from>
    <xdr:to>
      <xdr:col>5</xdr:col>
      <xdr:colOff>409575</xdr:colOff>
      <xdr:row>5</xdr:row>
      <xdr:rowOff>104775</xdr:rowOff>
    </xdr:to>
    <xdr:sp macro="" textlink="$E$6">
      <xdr:nvSpPr>
        <xdr:cNvPr id="15" name="TextBox 14"/>
        <xdr:cNvSpPr txBox="1"/>
      </xdr:nvSpPr>
      <xdr:spPr>
        <a:xfrm>
          <a:off x="3962400" y="866775"/>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546C43-DC2C-41B0-A770-EAB6C9C7C3F4}" type="TxLink">
            <a:rPr lang="en-US" sz="1200" b="0" i="0" u="none" strike="noStrike">
              <a:solidFill>
                <a:schemeClr val="bg1"/>
              </a:solidFill>
              <a:latin typeface="Calibri"/>
              <a:cs typeface="Calibri"/>
            </a:rPr>
            <a:pPr/>
            <a:t> $4,204.00 </a:t>
          </a:fld>
          <a:endParaRPr lang="en-US">
            <a:solidFill>
              <a:schemeClr val="bg1"/>
            </a:solidFill>
          </a:endParaRPr>
        </a:p>
      </xdr:txBody>
    </xdr:sp>
    <xdr:clientData/>
  </xdr:twoCellAnchor>
  <xdr:twoCellAnchor>
    <xdr:from>
      <xdr:col>7</xdr:col>
      <xdr:colOff>28575</xdr:colOff>
      <xdr:row>4</xdr:row>
      <xdr:rowOff>104775</xdr:rowOff>
    </xdr:from>
    <xdr:to>
      <xdr:col>8</xdr:col>
      <xdr:colOff>219075</xdr:colOff>
      <xdr:row>5</xdr:row>
      <xdr:rowOff>142875</xdr:rowOff>
    </xdr:to>
    <xdr:sp macro="" textlink="$H$6">
      <xdr:nvSpPr>
        <xdr:cNvPr id="16" name="TextBox 15"/>
        <xdr:cNvSpPr txBox="1"/>
      </xdr:nvSpPr>
      <xdr:spPr>
        <a:xfrm>
          <a:off x="5905500" y="904875"/>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B804D9-1ADE-4D18-B877-D8C1A2A68A25}" type="TxLink">
            <a:rPr lang="en-US" sz="1200" b="0" i="0" u="none" strike="noStrike">
              <a:solidFill>
                <a:schemeClr val="bg1"/>
              </a:solidFill>
              <a:latin typeface="Calibri"/>
              <a:cs typeface="Calibri"/>
            </a:rPr>
            <a:pPr/>
            <a:t> $840.80 </a:t>
          </a:fld>
          <a:endParaRPr lang="en-US">
            <a:solidFill>
              <a:schemeClr val="bg1"/>
            </a:solidFill>
          </a:endParaRPr>
        </a:p>
      </xdr:txBody>
    </xdr:sp>
    <xdr:clientData/>
  </xdr:twoCellAnchor>
  <xdr:twoCellAnchor>
    <xdr:from>
      <xdr:col>9</xdr:col>
      <xdr:colOff>476250</xdr:colOff>
      <xdr:row>4</xdr:row>
      <xdr:rowOff>95250</xdr:rowOff>
    </xdr:from>
    <xdr:to>
      <xdr:col>11</xdr:col>
      <xdr:colOff>57150</xdr:colOff>
      <xdr:row>5</xdr:row>
      <xdr:rowOff>133350</xdr:rowOff>
    </xdr:to>
    <xdr:sp macro="" textlink="$K$6">
      <xdr:nvSpPr>
        <xdr:cNvPr id="17" name="TextBox 16"/>
        <xdr:cNvSpPr txBox="1"/>
      </xdr:nvSpPr>
      <xdr:spPr>
        <a:xfrm>
          <a:off x="7800975" y="895350"/>
          <a:ext cx="9525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BC1C4A-3DEA-44EA-BD4B-8A71666FA24E}" type="TxLink">
            <a:rPr lang="en-US" sz="1200" b="0" i="0" u="none" strike="noStrike">
              <a:solidFill>
                <a:schemeClr val="bg1"/>
              </a:solidFill>
              <a:latin typeface="Calibri"/>
              <a:cs typeface="Calibri"/>
            </a:rPr>
            <a:pPr algn="ctr"/>
            <a:t>21%</a:t>
          </a:fld>
          <a:endParaRPr lang="en-US">
            <a:solidFill>
              <a:schemeClr val="bg1"/>
            </a:solidFill>
          </a:endParaRPr>
        </a:p>
      </xdr:txBody>
    </xdr:sp>
    <xdr:clientData/>
  </xdr:twoCellAnchor>
  <xdr:oneCellAnchor>
    <xdr:from>
      <xdr:col>4</xdr:col>
      <xdr:colOff>342900</xdr:colOff>
      <xdr:row>10</xdr:row>
      <xdr:rowOff>180975</xdr:rowOff>
    </xdr:from>
    <xdr:ext cx="790575" cy="264560"/>
    <xdr:sp macro="" textlink="">
      <xdr:nvSpPr>
        <xdr:cNvPr id="3" name="TextBox 2"/>
        <xdr:cNvSpPr txBox="1"/>
      </xdr:nvSpPr>
      <xdr:spPr>
        <a:xfrm>
          <a:off x="4010025" y="2181225"/>
          <a:ext cx="790575" cy="26456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PH" sz="1100"/>
        </a:p>
      </xdr:txBody>
    </xdr:sp>
    <xdr:clientData/>
  </xdr:oneCellAnchor>
  <xdr:twoCellAnchor>
    <xdr:from>
      <xdr:col>1</xdr:col>
      <xdr:colOff>180974</xdr:colOff>
      <xdr:row>9</xdr:row>
      <xdr:rowOff>47624</xdr:rowOff>
    </xdr:from>
    <xdr:to>
      <xdr:col>6</xdr:col>
      <xdr:colOff>152399</xdr:colOff>
      <xdr:row>17</xdr:row>
      <xdr:rowOff>114299</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9</xdr:row>
      <xdr:rowOff>47626</xdr:rowOff>
    </xdr:from>
    <xdr:to>
      <xdr:col>11</xdr:col>
      <xdr:colOff>533400</xdr:colOff>
      <xdr:row>17</xdr:row>
      <xdr:rowOff>133350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xdr:row>
      <xdr:rowOff>85725</xdr:rowOff>
    </xdr:from>
    <xdr:to>
      <xdr:col>1</xdr:col>
      <xdr:colOff>9525</xdr:colOff>
      <xdr:row>11</xdr:row>
      <xdr:rowOff>152400</xdr:rowOff>
    </xdr:to>
    <mc:AlternateContent xmlns:mc="http://schemas.openxmlformats.org/markup-compatibility/2006">
      <mc:Choice xmlns:a14="http://schemas.microsoft.com/office/drawing/2010/main" Requires="a14">
        <xdr:graphicFrame macro="">
          <xdr:nvGraphicFramePr>
            <xdr:cNvPr id="28"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1476375"/>
              <a:ext cx="1466850" cy="14668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38100</xdr:rowOff>
    </xdr:from>
    <xdr:to>
      <xdr:col>0</xdr:col>
      <xdr:colOff>1428750</xdr:colOff>
      <xdr:row>20</xdr:row>
      <xdr:rowOff>0</xdr:rowOff>
    </xdr:to>
    <mc:AlternateContent xmlns:mc="http://schemas.openxmlformats.org/markup-compatibility/2006">
      <mc:Choice xmlns:tsle="http://schemas.microsoft.com/office/drawing/2012/timeslicer" Requires="tsle">
        <xdr:graphicFrame macro="">
          <xdr:nvGraphicFramePr>
            <xdr:cNvPr id="29"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3028950"/>
              <a:ext cx="1428750" cy="156210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twoCellAnchor editAs="oneCell">
    <xdr:from>
      <xdr:col>0</xdr:col>
      <xdr:colOff>66675</xdr:colOff>
      <xdr:row>0</xdr:row>
      <xdr:rowOff>19050</xdr:rowOff>
    </xdr:from>
    <xdr:to>
      <xdr:col>0</xdr:col>
      <xdr:colOff>1419225</xdr:colOff>
      <xdr:row>4</xdr:row>
      <xdr:rowOff>9526</xdr:rowOff>
    </xdr:to>
    <xdr:pic>
      <xdr:nvPicPr>
        <xdr:cNvPr id="19" name="Picture 18" descr="40+ Revenue Icons, Vector, Icon Packs Free Download on Pngtree"/>
        <xdr:cNvPicPr>
          <a:picLocks noChangeAspect="1" noChangeArrowheads="1"/>
        </xdr:cNvPicPr>
      </xdr:nvPicPr>
      <xdr:blipFill rotWithShape="1">
        <a:blip xmlns:r="http://schemas.openxmlformats.org/officeDocument/2006/relationships" r:embed="rId3">
          <a:duotone>
            <a:prstClr val="black"/>
            <a:srgbClr val="FF69FF">
              <a:tint val="45000"/>
              <a:satMod val="400000"/>
            </a:srgbClr>
          </a:duotone>
          <a:extLst>
            <a:ext uri="{BEBA8EAE-BF5A-486C-A8C5-ECC9F3942E4B}">
              <a14:imgProps xmlns:a14="http://schemas.microsoft.com/office/drawing/2010/main">
                <a14:imgLayer r:embed="rId4">
                  <a14:imgEffect>
                    <a14:backgroundRemoval t="10000" b="90000" l="10000" r="90000"/>
                  </a14:imgEffect>
                  <a14:imgEffect>
                    <a14:colorTemperature colorTemp="4700"/>
                  </a14:imgEffect>
                </a14:imgLayer>
              </a14:imgProps>
            </a:ext>
            <a:ext uri="{28A0092B-C50C-407E-A947-70E740481C1C}">
              <a14:useLocalDpi xmlns:a14="http://schemas.microsoft.com/office/drawing/2010/main" val="0"/>
            </a:ext>
          </a:extLst>
        </a:blip>
        <a:srcRect l="12637" t="10439" r="9340" b="9890"/>
        <a:stretch/>
      </xdr:blipFill>
      <xdr:spPr bwMode="auto">
        <a:xfrm>
          <a:off x="66675" y="19050"/>
          <a:ext cx="1352550" cy="1381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COMLAB" refreshedDate="46073.751196874997" backgroundQuery="1" createdVersion="6" refreshedVersion="6" minRefreshableVersion="3" recordCount="0" supportSubquery="1" supportAdvancedDrill="1">
  <cacheSource type="external" connectionId="1"/>
  <cacheFields count="5">
    <cacheField name="[Measures].[Sum of Revenue]" caption="Sum of Revenue" numFmtId="0" hierarchy="27" level="32767"/>
    <cacheField name="[state_Dim].[State].[State]" caption="State" numFmtId="0" hierarchy="18" level="1">
      <sharedItems count="4">
        <s v="California"/>
        <s v="Florida"/>
        <s v="New York"/>
        <s v="Texas"/>
      </sharedItems>
    </cacheField>
    <cacheField name="[client_Dim].[Client].[Client]" caption="Client" numFmtId="0" level="1">
      <sharedItems containsNonDate="0" count="5">
        <s v="CHEVRON CORPORATION"/>
        <s v="CISCO SYSTEMS, INC."/>
        <s v="COSTCO WHOLESALE CORPORATION"/>
        <s v="THE GOLDMAN SACHS GROUP, INC."/>
        <s v="THE PROCTER &amp; GAMBLE COMPANY"/>
      </sharedItems>
    </cacheField>
    <cacheField name="[Measures].[Sum of Profit]" caption="Sum of Profit" numFmtId="0" hierarchy="28" level="32767"/>
    <cacheField name="[revenue_Fact].[Date].[Date]" caption="Date" numFmtId="0" hierarchy="9"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2" memberValueDatatype="130" unbalanced="0">
      <fieldsUsage count="2">
        <fieldUsage x="-1"/>
        <fieldUsage x="2"/>
      </fieldsUsage>
    </cacheHierarchy>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4"/>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OMLAB" refreshedDate="46073.751197337966" backgroundQuery="1" createdVersion="6" refreshedVersion="6" minRefreshableVersion="3" recordCount="0" supportSubquery="1" supportAdvancedDrill="1">
  <cacheSource type="external" connectionId="1"/>
  <cacheFields count="4">
    <cacheField name="[Measures].[Sum of Revenue]" caption="Sum of Revenue" numFmtId="0" hierarchy="27" level="32767"/>
    <cacheField name="[state_Dim].[State].[State]" caption="State" numFmtId="0" hierarchy="18" level="1">
      <sharedItems count="4">
        <s v="California"/>
        <s v="Florida"/>
        <s v="New York"/>
        <s v="Texas"/>
      </sharedItems>
    </cacheField>
    <cacheField name="[client_Dim].[Client].[Client]" caption="Client" numFmtId="0" level="1">
      <sharedItems count="5">
        <s v="AMAZON.COM, INC."/>
        <s v="CHEVRON CORPORATION"/>
        <s v="COMCAST CORPORATION"/>
        <s v="DELL TECHNOLOGIES INC."/>
        <s v="LOCKHEED MARTIN CORPORATION"/>
      </sharedItems>
    </cacheField>
    <cacheField name="[revenue_Fact].[Date].[Date]" caption="Date" numFmtId="0" hierarchy="9"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2" memberValueDatatype="130" unbalanced="0">
      <fieldsUsage count="2">
        <fieldUsage x="-1"/>
        <fieldUsage x="2"/>
      </fieldsUsage>
    </cacheHierarchy>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3"/>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OMLAB" refreshedDate="46073.751197453705" backgroundQuery="1" createdVersion="6" refreshedVersion="6" minRefreshableVersion="3" recordCount="0" supportSubquery="1" supportAdvancedDrill="1">
  <cacheSource type="external" connectionId="1"/>
  <cacheFields count="2">
    <cacheField name="[Measures].[Average of Profit Margin]" caption="Average of Profit Margin" numFmtId="0" hierarchy="31" level="32767"/>
    <cacheField name="[revenue_Fact].[Date].[Date]" caption="Date" numFmtId="0" hierarchy="9"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1"/>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OMLAB" refreshedDate="46073.762198495373" backgroundQuery="1" createdVersion="6" refreshedVersion="6" minRefreshableVersion="3" recordCount="0" supportSubquery="1" supportAdvancedDrill="1">
  <cacheSource type="external" connectionId="1"/>
  <cacheFields count="3">
    <cacheField name="[Measures].[Sum of Revenue]" caption="Sum of Revenue" numFmtId="0" hierarchy="27" level="32767"/>
    <cacheField name="[state_Dim].[State].[State]" caption="State" numFmtId="0" hierarchy="18" level="1">
      <sharedItems count="1">
        <s v="Florida"/>
      </sharedItems>
    </cacheField>
    <cacheField name="[revenue_Fact].[Date].[Date]" caption="Date" numFmtId="0" hierarchy="9"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OMLAB" refreshedDate="46073.762198611112" backgroundQuery="1" createdVersion="6" refreshedVersion="6" minRefreshableVersion="3" recordCount="0" supportSubquery="1" supportAdvancedDrill="1">
  <cacheSource type="external" connectionId="1"/>
  <cacheFields count="3">
    <cacheField name="[Measures].[Sum of Revenue]" caption="Sum of Revenue" numFmtId="0" hierarchy="27" level="32767"/>
    <cacheField name="[state_Dim].[State].[State]" caption="State" numFmtId="0" hierarchy="18" level="1">
      <sharedItems containsSemiMixedTypes="0" containsNonDate="0" containsString="0"/>
    </cacheField>
    <cacheField name="[revenue_Fact].[Date].[Date]" caption="Date" numFmtId="0" hierarchy="9"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2"/>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OMLAB" refreshedDate="46073.762198842589" backgroundQuery="1" createdVersion="6" refreshedVersion="6" minRefreshableVersion="3" recordCount="0" supportSubquery="1" supportAdvancedDrill="1">
  <cacheSource type="external" connectionId="1"/>
  <cacheFields count="3">
    <cacheField name="[Measures].[Sum of Profit]" caption="Sum of Profit" numFmtId="0" hierarchy="28" level="32767"/>
    <cacheField name="[revenue_Fact].[Date].[Date]" caption="Date" numFmtId="0" hierarchy="9" level="1">
      <sharedItems containsSemiMixedTypes="0" containsNonDate="0" containsString="0"/>
    </cacheField>
    <cacheField name="[state_Dim].[State].[State]" caption="State" numFmtId="0" hierarchy="18"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1"/>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2"/>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COMLAB" refreshedDate="46073.762199305558" backgroundQuery="1" createdVersion="6" refreshedVersion="6" minRefreshableVersion="3" recordCount="0" supportSubquery="1" supportAdvancedDrill="1">
  <cacheSource type="external" connectionId="1"/>
  <cacheFields count="3">
    <cacheField name="[Measures].[Average of Profit]" caption="Average of Profit" numFmtId="0" hierarchy="29" level="32767"/>
    <cacheField name="[revenue_Fact].[Date].[Date]" caption="Date" numFmtId="0" hierarchy="9" level="1">
      <sharedItems containsSemiMixedTypes="0" containsNonDate="0" containsString="0"/>
    </cacheField>
    <cacheField name="[state_Dim].[State].[State]" caption="State" numFmtId="0" hierarchy="18"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1"/>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0" memberValueDatatype="130" unbalanced="0"/>
    <cacheHierarchy uniqueName="[state_Dim].[State]" caption="State" attribute="1" defaultMemberUniqueName="[state_Dim].[State].[All]" allUniqueName="[state_Dim].[State].[All]" dimensionUniqueName="[state_Dim]" displayFolder="" count="2" memberValueDatatype="130" unbalanced="0">
      <fieldsUsage count="2">
        <fieldUsage x="-1"/>
        <fieldUsage x="2"/>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COMLAB" refreshedDate="46073.762199999997" backgroundQuery="1" createdVersion="6" refreshedVersion="6" minRefreshableVersion="3" recordCount="0" supportSubquery="1" supportAdvancedDrill="1">
  <cacheSource type="external" connectionId="1"/>
  <cacheFields count="4">
    <cacheField name="[Measures].[Sum of Revenue]" caption="Sum of Revenue" numFmtId="0" hierarchy="27" level="32767"/>
    <cacheField name="[state_Dim].[State].[State]" caption="State" numFmtId="0" hierarchy="18" level="1">
      <sharedItems count="4">
        <s v="California"/>
        <s v="Florida"/>
        <s v="New York"/>
        <s v="Texas"/>
      </sharedItems>
    </cacheField>
    <cacheField name="[revenue_Fact].[Date (Month)].[Date (Month)]" caption="Date (Month)" numFmtId="0" hierarchy="17" level="1">
      <sharedItems count="2">
        <s v="May"/>
        <s v="Jun"/>
      </sharedItems>
    </cacheField>
    <cacheField name="[revenue_Fact].[Date].[Date]" caption="Date" numFmtId="0" hierarchy="9" level="1">
      <sharedItems containsSemiMixedTypes="0" containsNonDate="0" containsString="0"/>
    </cacheField>
  </cacheFields>
  <cacheHierarchies count="32">
    <cacheHierarchy uniqueName="[client_Dim].[Client]" caption="Client" attribute="1" defaultMemberUniqueName="[client_Dim].[Client].[All]" allUniqueName="[client_Dim].[Client].[All]" dimensionUniqueName="[client_Dim]" displayFolder="" count="0" memberValueDatatype="130" unbalanced="0"/>
    <cacheHierarchy uniqueName="[client_Dim].[Clien_id]" caption="Clien_id" attribute="1" defaultMemberUniqueName="[client_Dim].[Clien_id].[All]" allUniqueName="[client_Dim].[Clien_id].[All]" dimensionUniqueName="[client_Dim]" displayFolder="" count="0" memberValueDatatype="130" unbalanced="0"/>
    <cacheHierarchy uniqueName="[client_Dim].[First Name]" caption="First Name" attribute="1" defaultMemberUniqueName="[client_Dim].[First Name].[All]" allUniqueName="[client_Dim].[First Name].[All]" dimensionUniqueName="[client_Dim]" displayFolder="" count="0" memberValueDatatype="130" unbalanced="0"/>
    <cacheHierarchy uniqueName="[client_Dim].[Last Name]" caption="Last Name" attribute="1" defaultMemberUniqueName="[client_Dim].[Last Name].[All]" allUniqueName="[client_Dim].[Last Name].[All]" dimensionUniqueName="[client_Dim]" displayFolder="" count="0" memberValueDatatype="130" unbalanced="0"/>
    <cacheHierarchy uniqueName="[department_Dim].[Department]" caption="Department" attribute="1" defaultMemberUniqueName="[department_Dim].[Department].[All]" allUniqueName="[department_Dim].[Department].[All]" dimensionUniqueName="[department_Dim]" displayFolder="" count="0" memberValueDatatype="130" unbalanced="0"/>
    <cacheHierarchy uniqueName="[department_Dim].[Department_id]" caption="Department_id" attribute="1" defaultMemberUniqueName="[department_Dim].[Department_id].[All]" allUniqueName="[department_Dim].[Department_id].[All]" dimensionUniqueName="[department_Dim]" displayFolder="" count="0" memberValueDatatype="130" unbalanced="0"/>
    <cacheHierarchy uniqueName="[paymetn_DIm].[Payment]" caption="Payment" attribute="1" defaultMemberUniqueName="[paymetn_DIm].[Payment].[All]" allUniqueName="[paymetn_DIm].[Payment].[All]" dimensionUniqueName="[paymetn_DIm]" displayFolder="" count="0" memberValueDatatype="130" unbalanced="0"/>
    <cacheHierarchy uniqueName="[paymetn_DIm].[Payment_id]" caption="Payment_id" attribute="1" defaultMemberUniqueName="[paymetn_DIm].[Payment_id].[All]" allUniqueName="[paymetn_DIm].[Payment_id].[All]" dimensionUniqueName="[paymetn_DIm]" displayFolder="" count="0" memberValueDatatype="130" unbalanced="0"/>
    <cacheHierarchy uniqueName="[revenue_Fact].[Trans_id]" caption="Trans_id" attribute="1" defaultMemberUniqueName="[revenue_Fact].[Trans_id].[All]" allUniqueName="[revenue_Fact].[Trans_id].[All]" dimensionUniqueName="[revenue_Fact]" displayFolder="" count="0" memberValueDatatype="130" unbalanced="0"/>
    <cacheHierarchy uniqueName="[revenue_Fact].[Date]" caption="Date" attribute="1" time="1" defaultMemberUniqueName="[revenue_Fact].[Date].[All]" allUniqueName="[revenue_Fact].[Date].[All]" dimensionUniqueName="[revenue_Fact]" displayFolder="" count="2" memberValueDatatype="7" unbalanced="0">
      <fieldsUsage count="2">
        <fieldUsage x="-1"/>
        <fieldUsage x="3"/>
      </fieldsUsage>
    </cacheHierarchy>
    <cacheHierarchy uniqueName="[revenue_Fact].[Client_id]" caption="Client_id" attribute="1" defaultMemberUniqueName="[revenue_Fact].[Client_id].[All]" allUniqueName="[revenue_Fact].[Client_id].[All]" dimensionUniqueName="[revenue_Fact]" displayFolder="" count="0" memberValueDatatype="130" unbalanced="0"/>
    <cacheHierarchy uniqueName="[revenue_Fact].[Department_id]" caption="Department_id" attribute="1" defaultMemberUniqueName="[revenue_Fact].[Department_id].[All]" allUniqueName="[revenue_Fact].[Department_id].[All]" dimensionUniqueName="[revenue_Fact]" displayFolder="" count="0" memberValueDatatype="130" unbalanced="0"/>
    <cacheHierarchy uniqueName="[revenue_Fact].[State_id]" caption="State_id" attribute="1" defaultMemberUniqueName="[revenue_Fact].[State_id].[All]" allUniqueName="[revenue_Fact].[State_id].[All]" dimensionUniqueName="[revenue_Fact]" displayFolder="" count="0" memberValueDatatype="130" unbalanced="0"/>
    <cacheHierarchy uniqueName="[revenue_Fact].[Payment_id]" caption="Payment_id" attribute="1" defaultMemberUniqueName="[revenue_Fact].[Payment_id].[All]" allUniqueName="[revenue_Fact].[Payment_id].[All]" dimensionUniqueName="[revenue_Fact]" displayFolder="" count="0" memberValueDatatype="130" unbalanced="0"/>
    <cacheHierarchy uniqueName="[revenue_Fact].[Revenue]" caption="Revenue" attribute="1" defaultMemberUniqueName="[revenue_Fact].[Revenue].[All]" allUniqueName="[revenue_Fact].[Revenue].[All]" dimensionUniqueName="[revenue_Fact]" displayFolder="" count="0" memberValueDatatype="5" unbalanced="0"/>
    <cacheHierarchy uniqueName="[revenue_Fact].[Profit]" caption="Profit" attribute="1" defaultMemberUniqueName="[revenue_Fact].[Profit].[All]" allUniqueName="[revenue_Fact].[Profit].[All]" dimensionUniqueName="[revenue_Fact]" displayFolder="" count="0" memberValueDatatype="20" unbalanced="0"/>
    <cacheHierarchy uniqueName="[revenue_Fact].[Profit Margin]" caption="Profit Margin" attribute="1" defaultMemberUniqueName="[revenue_Fact].[Profit Margin].[All]" allUniqueName="[revenue_Fact].[Profit Margin].[All]" dimensionUniqueName="[revenue_Fact]" displayFolder="" count="0"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fieldsUsage count="2">
        <fieldUsage x="-1"/>
        <fieldUsage x="2"/>
      </fieldsUsage>
    </cacheHierarchy>
    <cacheHierarchy uniqueName="[state_Dim].[State]" caption="State" attribute="1" defaultMemberUniqueName="[state_Dim].[State].[All]" allUniqueName="[state_Dim].[State].[All]" dimensionUniqueName="[state_Dim]" displayFolder="" count="2" memberValueDatatype="130" unbalanced="0">
      <fieldsUsage count="2">
        <fieldUsage x="-1"/>
        <fieldUsage x="1"/>
      </fieldsUsage>
    </cacheHierarchy>
    <cacheHierarchy uniqueName="[state_Dim].[State_id]" caption="State_id" attribute="1" defaultMemberUniqueName="[state_Dim].[State_id].[All]" allUniqueName="[state_Dim].[State_id].[All]" dimensionUniqueName="[state_Dim]" displayFolder="" count="0" memberValueDatatype="130" unbalanced="0"/>
    <cacheHierarchy uniqueName="[revenue_Fact].[Date (Month Index)]" caption="Date (Month Index)" attribute="1" defaultMemberUniqueName="[revenue_Fact].[Date (Month Index)].[All]" allUniqueName="[revenue_Fact].[Date (Month Index)].[All]" dimensionUniqueName="[revenue_Fact]" displayFolder="" count="0"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5"/>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6"/>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COMLAB" refreshedDate="46073.72136631944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client_Dim].[Client]" caption="Client" attribute="1" defaultMemberUniqueName="[client_Dim].[Client].[All]" allUniqueName="[client_Dim].[Client].[All]" dimensionUniqueName="[client_Dim]" displayFolder="" count="2" memberValueDatatype="130" unbalanced="0"/>
    <cacheHierarchy uniqueName="[client_Dim].[Clien_id]" caption="Clien_id" attribute="1" defaultMemberUniqueName="[client_Dim].[Clien_id].[All]" allUniqueName="[client_Dim].[Clien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tn_DIm].[Payment]" caption="Payment" attribute="1" defaultMemberUniqueName="[paymetn_DIm].[Payment].[All]" allUniqueName="[paymetn_DIm].[Payment].[All]" dimensionUniqueName="[paymetn_DIm]" displayFolder="" count="2" memberValueDatatype="130" unbalanced="0"/>
    <cacheHierarchy uniqueName="[paymetn_DIm].[Payment_id]" caption="Payment_id" attribute="1" defaultMemberUniqueName="[paymetn_DIm].[Payment_id].[All]" allUniqueName="[paymetn_DIm].[Payment_id].[All]" dimensionUniqueName="[paymetn_DIm]" displayFolder="" count="2" memberValueDatatype="13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130" unbalanced="0"/>
    <cacheHierarchy uniqueName="[revenue_Fact].[State_id]" caption="State_id" attribute="1" defaultMemberUniqueName="[revenue_Fact].[State_id].[All]" allUniqueName="[revenue_Fact].[State_id].[All]" dimensionUniqueName="[revenue_Fact]" displayFolder="" count="2" memberValueDatatype="130" unbalanced="0"/>
    <cacheHierarchy uniqueName="[revenue_Fact].[Payment_id]" caption="Payment_id" attribute="1" defaultMemberUniqueName="[revenue_Fact].[Payment_id].[All]" allUniqueName="[revenue_Fact].[Payment_id].[All]" dimensionUniqueName="[revenue_Fact]" displayFolder="" count="2" memberValueDatatype="13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cacheHierarchy uniqueName="[state_Dim].[State]" caption="State" attribute="1" defaultMemberUniqueName="[state_Dim].[State].[All]" allUniqueName="[state_Dim].[State].[All]" dimensionUniqueName="[state_Dim]" displayFolder="" count="2" memberValueDatatype="130" unbalanced="0"/>
    <cacheHierarchy uniqueName="[state_Dim].[State_id]" caption="State_id" attribute="1" defaultMemberUniqueName="[state_Dim].[State_id].[All]" allUniqueName="[state_Dim].[State_id].[All]" dimensionUniqueName="[state_Dim]" displayFolder="" count="2" memberValueDatatype="130" unbalanced="0"/>
    <cacheHierarchy uniqueName="[revenue_Fact].[Date (Month Index)]" caption="Date (Month Index)" attribute="1" defaultMemberUniqueName="[revenue_Fact].[Date (Month Index)].[All]" allUniqueName="[revenue_Fact].[Date (Month Index)].[All]" dimensionUniqueName="[revenue_Fact]"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7"/>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COMLAB" refreshedDate="46073.72366516204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client_Dim].[Client]" caption="Client" attribute="1" defaultMemberUniqueName="[client_Dim].[Client].[All]" allUniqueName="[client_Dim].[Client].[All]" dimensionUniqueName="[client_Dim]" displayFolder="" count="2" memberValueDatatype="130" unbalanced="0"/>
    <cacheHierarchy uniqueName="[client_Dim].[Clien_id]" caption="Clien_id" attribute="1" defaultMemberUniqueName="[client_Dim].[Clien_id].[All]" allUniqueName="[client_Dim].[Clien_id].[All]" dimensionUniqueName="[client_Dim]" displayFolder="" count="2" memberValueDatatype="130" unbalanced="0"/>
    <cacheHierarchy uniqueName="[client_Dim].[First Name]" caption="First Name" attribute="1" defaultMemberUniqueName="[client_Dim].[First Name].[All]" allUniqueName="[client_Dim].[First Name].[All]" dimensionUniqueName="[client_Dim]" displayFolder="" count="2" memberValueDatatype="130" unbalanced="0"/>
    <cacheHierarchy uniqueName="[client_Dim].[Last Name]" caption="Last Name" attribute="1" defaultMemberUniqueName="[client_Dim].[Last Name].[All]" allUniqueName="[client_Dim].[Last Name].[All]" dimensionUniqueName="[client_Dim]" displayFolder="" count="2" memberValueDatatype="130" unbalanced="0"/>
    <cacheHierarchy uniqueName="[department_Dim].[Department]" caption="Department" attribute="1" defaultMemberUniqueName="[department_Dim].[Department].[All]" allUniqueName="[department_Dim].[Department].[All]" dimensionUniqueName="[department_Dim]" displayFolder="" count="2" memberValueDatatype="130" unbalanced="0"/>
    <cacheHierarchy uniqueName="[department_Dim].[Department_id]" caption="Department_id" attribute="1" defaultMemberUniqueName="[department_Dim].[Department_id].[All]" allUniqueName="[department_Dim].[Department_id].[All]" dimensionUniqueName="[department_Dim]"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aymetn_DIm].[Payment]" caption="Payment" attribute="1" defaultMemberUniqueName="[paymetn_DIm].[Payment].[All]" allUniqueName="[paymetn_DIm].[Payment].[All]" dimensionUniqueName="[paymetn_DIm]" displayFolder="" count="2" memberValueDatatype="130" unbalanced="0"/>
    <cacheHierarchy uniqueName="[paymetn_DIm].[Payment_id]" caption="Payment_id" attribute="1" defaultMemberUniqueName="[paymetn_DIm].[Payment_id].[All]" allUniqueName="[paymetn_DIm].[Payment_id].[All]" dimensionUniqueName="[paymetn_DIm]" displayFolder="" count="2" memberValueDatatype="130" unbalanced="0"/>
    <cacheHierarchy uniqueName="[revenue_Fact].[Trans_id]" caption="Trans_id" attribute="1" defaultMemberUniqueName="[revenue_Fact].[Trans_id].[All]" allUniqueName="[revenue_Fact].[Trans_id].[All]" dimensionUniqueName="[revenue_Fact]" displayFolder="" count="2" memberValueDatatype="130" unbalanced="0"/>
    <cacheHierarchy uniqueName="[revenue_Fact].[Date]" caption="Date" attribute="1" time="1" defaultMemberUniqueName="[revenue_Fact].[Date].[All]" allUniqueName="[revenue_Fact].[Date].[All]" dimensionUniqueName="[revenue_Fact]" displayFolder="" count="2" memberValueDatatype="7" unbalanced="0"/>
    <cacheHierarchy uniqueName="[revenue_Fact].[Client_id]" caption="Client_id" attribute="1" defaultMemberUniqueName="[revenue_Fact].[Client_id].[All]" allUniqueName="[revenue_Fact].[Client_id].[All]" dimensionUniqueName="[revenue_Fact]" displayFolder="" count="2" memberValueDatatype="130" unbalanced="0"/>
    <cacheHierarchy uniqueName="[revenue_Fact].[Department_id]" caption="Department_id" attribute="1" defaultMemberUniqueName="[revenue_Fact].[Department_id].[All]" allUniqueName="[revenue_Fact].[Department_id].[All]" dimensionUniqueName="[revenue_Fact]" displayFolder="" count="2" memberValueDatatype="130" unbalanced="0"/>
    <cacheHierarchy uniqueName="[revenue_Fact].[State_id]" caption="State_id" attribute="1" defaultMemberUniqueName="[revenue_Fact].[State_id].[All]" allUniqueName="[revenue_Fact].[State_id].[All]" dimensionUniqueName="[revenue_Fact]" displayFolder="" count="2" memberValueDatatype="130" unbalanced="0"/>
    <cacheHierarchy uniqueName="[revenue_Fact].[Payment_id]" caption="Payment_id" attribute="1" defaultMemberUniqueName="[revenue_Fact].[Payment_id].[All]" allUniqueName="[revenue_Fact].[Payment_id].[All]" dimensionUniqueName="[revenue_Fact]" displayFolder="" count="2" memberValueDatatype="130" unbalanced="0"/>
    <cacheHierarchy uniqueName="[revenue_Fact].[Revenue]" caption="Revenue" attribute="1" defaultMemberUniqueName="[revenue_Fact].[Revenue].[All]" allUniqueName="[revenue_Fact].[Revenue].[All]" dimensionUniqueName="[revenue_Fact]" displayFolder="" count="2" memberValueDatatype="5" unbalanced="0"/>
    <cacheHierarchy uniqueName="[revenue_Fact].[Profit]" caption="Profit" attribute="1" defaultMemberUniqueName="[revenue_Fact].[Profit].[All]" allUniqueName="[revenue_Fact].[Profit].[All]" dimensionUniqueName="[revenue_Fact]" displayFolder="" count="2" memberValueDatatype="20" unbalanced="0"/>
    <cacheHierarchy uniqueName="[revenue_Fact].[Profit Margin]" caption="Profit Margin" attribute="1" defaultMemberUniqueName="[revenue_Fact].[Profit Margin].[All]" allUniqueName="[revenue_Fact].[Profit Margin].[All]" dimensionUniqueName="[revenue_Fact]" displayFolder="" count="2" memberValueDatatype="5" unbalanced="0"/>
    <cacheHierarchy uniqueName="[revenue_Fact].[Date (Month)]" caption="Date (Month)" attribute="1" defaultMemberUniqueName="[revenue_Fact].[Date (Month)].[All]" allUniqueName="[revenue_Fact].[Date (Month)].[All]" dimensionUniqueName="[revenue_Fact]" displayFolder="" count="2" memberValueDatatype="130" unbalanced="0"/>
    <cacheHierarchy uniqueName="[state_Dim].[State]" caption="State" attribute="1" defaultMemberUniqueName="[state_Dim].[State].[All]" allUniqueName="[state_Dim].[State].[All]" dimensionUniqueName="[state_Dim]" displayFolder="" count="2" memberValueDatatype="130" unbalanced="0"/>
    <cacheHierarchy uniqueName="[state_Dim].[State_id]" caption="State_id" attribute="1" defaultMemberUniqueName="[state_Dim].[State_id].[All]" allUniqueName="[state_Dim].[State_id].[All]" dimensionUniqueName="[state_Dim]" displayFolder="" count="2" memberValueDatatype="130" unbalanced="0"/>
    <cacheHierarchy uniqueName="[revenue_Fact].[Date (Month Index)]" caption="Date (Month Index)" attribute="1" defaultMemberUniqueName="[revenue_Fact].[Date (Month Index)].[All]" allUniqueName="[revenue_Fact].[Date (Month Index)].[All]" dimensionUniqueName="[revenue_Fact]" displayFolder="" count="2" memberValueDatatype="20" unbalanced="0" hidden="1"/>
    <cacheHierarchy uniqueName="[Measures].[__XL_Count revenue_Fact]" caption="__XL_Count revenue_Fact" measure="1" displayFolder="" measureGroup="revenue_Fact" count="0" hidden="1"/>
    <cacheHierarchy uniqueName="[Measures].[__XL_Count client_Dim]" caption="__XL_Count client_Dim" measure="1" displayFolder="" measureGroup="client_Dim" count="0" hidden="1"/>
    <cacheHierarchy uniqueName="[Measures].[__XL_Count department_Dim]" caption="__XL_Count department_Dim" measure="1" displayFolder="" measureGroup="department_Dim" count="0" hidden="1"/>
    <cacheHierarchy uniqueName="[Measures].[__XL_Count paymetn_DIm]" caption="__XL_Count paymetn_DIm" measure="1" displayFolder="" measureGroup="paymetn_DIm" count="0" hidden="1"/>
    <cacheHierarchy uniqueName="[Measures].[__XL_Count state_Dim]" caption="__XL_Count state_Dim" measure="1" displayFolder="" measureGroup="state_Dim" count="0" hidden="1"/>
    <cacheHierarchy uniqueName="[Measures].[__No measures defined]" caption="__No measures defined" measure="1" displayFolder="" count="0" hidden="1"/>
    <cacheHierarchy uniqueName="[Measures].[Sum of Revenue]" caption="Sum of Revenue" measure="1" displayFolder="" measureGroup="revenue_Fact"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revenue_Fact" count="0" hidden="1">
      <extLst>
        <ext xmlns:x15="http://schemas.microsoft.com/office/spreadsheetml/2010/11/main" uri="{B97F6D7D-B522-45F9-BDA1-12C45D357490}">
          <x15:cacheHierarchy aggregatedColumn="16"/>
        </ext>
      </extLst>
    </cacheHierarchy>
    <cacheHierarchy uniqueName="[Measures].[Average of Profit]" caption="Average of Profit" measure="1" displayFolder="" measureGroup="revenue_Fact" count="0" hidden="1">
      <extLst>
        <ext xmlns:x15="http://schemas.microsoft.com/office/spreadsheetml/2010/11/main" uri="{B97F6D7D-B522-45F9-BDA1-12C45D357490}">
          <x15:cacheHierarchy aggregatedColumn="16"/>
        </ext>
      </extLst>
    </cacheHierarchy>
    <cacheHierarchy uniqueName="[Measures].[Sum of Profit Margin]" caption="Sum of Profit Margin" measure="1" displayFolder="" measureGroup="revenue_Fact" count="0" hidden="1">
      <extLst>
        <ext xmlns:x15="http://schemas.microsoft.com/office/spreadsheetml/2010/11/main" uri="{B97F6D7D-B522-45F9-BDA1-12C45D357490}">
          <x15:cacheHierarchy aggregatedColumn="17"/>
        </ext>
      </extLst>
    </cacheHierarchy>
    <cacheHierarchy uniqueName="[Measures].[Average of Profit Margin]" caption="Average of Profit Margin" measure="1" displayFolder="" measureGroup="revenue_Fact" count="0" hidden="1">
      <extLst>
        <ext xmlns:x15="http://schemas.microsoft.com/office/spreadsheetml/2010/11/main" uri="{B97F6D7D-B522-45F9-BDA1-12C45D357490}">
          <x15:cacheHierarchy aggregatedColumn="17"/>
        </ext>
      </extLst>
    </cacheHierarchy>
  </cacheHierarchies>
  <kpis count="0"/>
  <dimensions count="6">
    <dimension name="client_Dim" uniqueName="[client_Dim]" caption="client_Dim"/>
    <dimension name="department_Dim" uniqueName="[department_Dim]" caption="department_Dim"/>
    <dimension measure="1" name="Measures" uniqueName="[Measures]" caption="Measures"/>
    <dimension name="paymetn_DIm" uniqueName="[paymetn_DIm]" caption="paymetn_DIm"/>
    <dimension name="revenue_Fact" uniqueName="[revenue_Fact]" caption="revenue_Fact"/>
    <dimension name="state_Dim" uniqueName="[state_Dim]" caption="state_Dim"/>
  </dimensions>
  <measureGroups count="5">
    <measureGroup name="client_Dim" caption="client_Dim"/>
    <measureGroup name="department_Dim" caption="department_Dim"/>
    <measureGroup name="paymetn_DIm" caption="paymetn_DIm"/>
    <measureGroup name="revenue_Fact" caption="revenue_Fact"/>
    <measureGroup name="state_Dim" caption="state_Dim"/>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pivotCacheId="7"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2_tot_profit" cacheId="19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C3:C4" firstHeaderRow="1" firstDataRow="1" firstDataCol="0"/>
  <pivotFields count="3">
    <pivotField dataField="1" showAll="0"/>
    <pivotField allDrilled="1" showAll="0" dataSourceSort="1" defaultAttributeDrillState="1">
      <items count="1">
        <item t="default"/>
      </items>
    </pivotField>
    <pivotField allDrilled="1" showAll="0" dataSourceSort="1" defaultAttributeDrillState="1"/>
  </pivotFields>
  <rowItems count="1">
    <i/>
  </rowItems>
  <colItems count="1">
    <i/>
  </colItems>
  <dataFields count="1">
    <dataField name="Sum of Profit" fld="0" baseField="0" baseItem="0" numFmtId="167"/>
  </dataFields>
  <formats count="1">
    <format dxfId="11">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Florid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 name="[revenue_Fact].[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2.xml><?xml version="1.0" encoding="utf-8"?>
<pivotTableDefinition xmlns="http://schemas.openxmlformats.org/spreadsheetml/2006/main" name="P4_highest_state_rev" cacheId="185" applyNumberFormats="0" applyBorderFormats="0" applyFontFormats="0" applyPatternFormats="0" applyAlignmentFormats="0" applyWidthHeightFormats="1" dataCaption="Values" tag="99828746-1a2b-4863-98fe-138e2098f215" updatedVersion="6" minRefreshableVersion="5" useAutoFormatting="1" subtotalHiddenItems="1" rowGrandTotals="0" itemPrintTitles="1" createdVersion="6" indent="0" outline="1" outlineData="1" multipleFieldFilters="0" chartFormat="7" rowHeaderCaption="State">
  <location ref="A8:B9" firstHeaderRow="1" firstDataRow="1" firstDataCol="1"/>
  <pivotFields count="3">
    <pivotField dataField="1" showAll="0"/>
    <pivotField axis="axisRow" allDrilled="1" showAll="0" sortType="descending" defaultAttributeDrillState="1">
      <items count="2">
        <item s="1" x="0"/>
        <item t="default"/>
      </items>
      <autoSortScope>
        <pivotArea dataOnly="0" outline="0" fieldPosition="0">
          <references count="1">
            <reference field="4294967294" count="1" selected="0">
              <x v="0"/>
            </reference>
          </references>
        </pivotArea>
      </autoSortScope>
    </pivotField>
    <pivotField allDrilled="1" showAll="0" dataSourceSort="1" defaultAttributeDrillState="1">
      <items count="1">
        <item t="default"/>
      </items>
    </pivotField>
  </pivotFields>
  <rowFields count="1">
    <field x="1"/>
  </rowFields>
  <rowItems count="1">
    <i>
      <x/>
    </i>
  </rowItems>
  <colItems count="1">
    <i/>
  </colItems>
  <dataFields count="1">
    <dataField name="Total Revenue" fld="0" baseField="1" baseItem="1"/>
  </dataFields>
  <formats count="1">
    <format dxfId="12">
      <pivotArea outline="0" collapsedLevelsAreSubtotals="1" fieldPosition="0"/>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4">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revenue_Fact].[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pivotTableUISettings>
    </ext>
  </extLst>
</pivotTableDefinition>
</file>

<file path=xl/pivotTables/pivotTable3.xml><?xml version="1.0" encoding="utf-8"?>
<pivotTableDefinition xmlns="http://schemas.openxmlformats.org/spreadsheetml/2006/main" name="PivotTable8" cacheId="115"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G3:G4" firstHeaderRow="1" firstDataRow="1" firstDataCol="0"/>
  <pivotFields count="2">
    <pivotField dataField="1" showAll="0"/>
    <pivotField allDrilled="1" showAll="0" dataSourceSort="1" defaultAttributeDrillState="1">
      <items count="1">
        <item t="default"/>
      </items>
    </pivotField>
  </pivotFields>
  <rowItems count="1">
    <i/>
  </rowItems>
  <colItems count="1">
    <i/>
  </colItems>
  <dataFields count="1">
    <dataField name="Average of Profit Margin" fld="0" subtotal="average" baseField="0" baseItem="0"/>
  </dataFields>
  <formats count="6">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ofit"/>
    <pivotHierarchy dragToData="1"/>
    <pivotHierarchy dragToData="1" caption="Average of Profit Margin"/>
  </pivotHierarchies>
  <pivotTableStyleInfo name="PivotStyleLight16" showRowHeaders="1" showColHeaders="1" showRowStripes="0" showColStripes="0" showLastColumn="1"/>
  <filters count="1">
    <filter fld="1" type="dateBetween" evalOrder="-1" id="1" name="[revenue_Fact].[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4.xml><?xml version="1.0" encoding="utf-8"?>
<pivotTableDefinition xmlns="http://schemas.openxmlformats.org/spreadsheetml/2006/main" name="P1_TotRev" cacheId="188" applyNumberFormats="0" applyBorderFormats="0" applyFontFormats="0" applyPatternFormats="0" applyAlignmentFormats="0" applyWidthHeightFormats="1" dataCaption="Values" tag="46af0a70-1564-4399-a8a1-35bccc90d333" updatedVersion="6" minRefreshableVersion="5" useAutoFormatting="1" subtotalHiddenItems="1" itemPrintTitles="1" createdVersion="6" indent="0" outline="1" outlineData="1" multipleFieldFilters="0">
  <location ref="A3:A4" firstHeaderRow="1" firstDataRow="1" firstDataCol="0"/>
  <pivotFields count="3">
    <pivotField dataField="1" showAll="0"/>
    <pivotField allDrilled="1" showAll="0" dataSourceSort="1" defaultAttributeDrillState="1"/>
    <pivotField allDrilled="1" showAll="0" dataSourceSort="1" defaultAttributeDrillState="1">
      <items count="1">
        <item t="default"/>
      </items>
    </pivotField>
  </pivotFields>
  <rowItems count="1">
    <i/>
  </rowItems>
  <colItems count="1">
    <i/>
  </colItems>
  <dataFields count="1">
    <dataField name="Sum of Revenue" fld="0" baseField="0" baseItem="0" numFmtId="167"/>
  </dataFields>
  <formats count="1">
    <format dxfId="19">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Florid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revenue_Fact].[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5.xml><?xml version="1.0" encoding="utf-8"?>
<pivotTableDefinition xmlns="http://schemas.openxmlformats.org/spreadsheetml/2006/main" name="PivotTable15" cacheId="197" applyNumberFormats="0" applyBorderFormats="0" applyFontFormats="0" applyPatternFormats="0" applyAlignmentFormats="0" applyWidthHeightFormats="1" dataCaption="Values" tag="ab471749-b445-480c-87c7-face6fe455b3" updatedVersion="6" minRefreshableVersion="5" useAutoFormatting="1" subtotalHiddenItems="1" rowGrandTotals="0" itemPrintTitles="1" createdVersion="6" indent="0" outline="1" outlineData="1" multipleFieldFilters="0" chartFormat="9" rowHeaderCaption="State">
  <location ref="A24:B26" firstHeaderRow="1" firstDataRow="1" firstDataCol="1"/>
  <pivotFields count="4">
    <pivotField dataField="1" showAll="0"/>
    <pivotField allDrilled="1" showAll="0" sortType="descending" defaultAttributeDrillState="1">
      <items count="5">
        <item x="0"/>
        <item s="1" x="1"/>
        <item x="2"/>
        <item x="3"/>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3">
        <item x="0"/>
        <item x="1"/>
        <item t="default"/>
      </items>
    </pivotField>
    <pivotField allDrilled="1" showAll="0" dataSourceSort="1" defaultAttributeDrillState="1">
      <items count="1">
        <item t="default"/>
      </items>
    </pivotField>
  </pivotFields>
  <rowFields count="1">
    <field x="2"/>
  </rowFields>
  <rowItems count="2">
    <i>
      <x/>
    </i>
    <i>
      <x v="1"/>
    </i>
  </rowItems>
  <colItems count="1">
    <i/>
  </colItems>
  <dataFields count="1">
    <dataField name="Total Revenue" fld="0" baseField="1" baseItem="1"/>
  </dataFields>
  <formats count="1">
    <format dxfId="20">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9">
    <chartFormat chart="3" format="1"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2" count="1" selected="0">
            <x v="0"/>
          </reference>
        </references>
      </pivotArea>
    </chartFormat>
    <chartFormat chart="6" format="11">
      <pivotArea type="data" outline="0" fieldPosition="0">
        <references count="2">
          <reference field="4294967294" count="1" selected="0">
            <x v="0"/>
          </reference>
          <reference field="2"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1" name="[revenue_Fact].[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pivotTableUISettings>
    </ext>
  </extLst>
</pivotTableDefinition>
</file>

<file path=xl/pivotTables/pivotTable6.xml><?xml version="1.0" encoding="utf-8"?>
<pivotTableDefinition xmlns="http://schemas.openxmlformats.org/spreadsheetml/2006/main" name="PivotTable13" cacheId="114" applyNumberFormats="0" applyBorderFormats="0" applyFontFormats="0" applyPatternFormats="0" applyAlignmentFormats="0" applyWidthHeightFormats="1" dataCaption="Values" tag="99d33705-3b82-4b22-bbc1-00823db466d2" updatedVersion="6" minRefreshableVersion="5" useAutoFormatting="1" subtotalHiddenItems="1" rowGrandTotals="0" itemPrintTitles="1" createdVersion="6" indent="0" outline="1" outlineData="1" multipleFieldFilters="0" chartFormat="23" rowHeaderCaption="Client">
  <location ref="E8:F13" firstHeaderRow="1" firstDataRow="1" firstDataCol="1"/>
  <pivotFields count="4">
    <pivotField dataField="1" showAll="0"/>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items count="1">
        <item t="default"/>
      </items>
    </pivotField>
  </pivotFields>
  <rowFields count="1">
    <field x="2"/>
  </rowFields>
  <rowItems count="5">
    <i>
      <x/>
    </i>
    <i>
      <x v="4"/>
    </i>
    <i>
      <x v="3"/>
    </i>
    <i>
      <x v="1"/>
    </i>
    <i>
      <x v="2"/>
    </i>
  </rowItems>
  <colItems count="1">
    <i/>
  </colItems>
  <dataFields count="1">
    <dataField name="Total Revenue" fld="0" baseField="1" baseItem="1"/>
  </dataFields>
  <formats count="1">
    <format dxfId="21">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
    <chartFormat chart="2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4" name="[revenue_Fact].[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 fld="2" type="count" id="3" iMeasureHier="27">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activeTabTopLevelEntity name="[client_Dim]"/>
      </x15:pivotTableUISettings>
    </ext>
  </extLst>
</pivotTableDefinition>
</file>

<file path=xl/pivotTables/pivotTable7.xml><?xml version="1.0" encoding="utf-8"?>
<pivotTableDefinition xmlns="http://schemas.openxmlformats.org/spreadsheetml/2006/main" name="P3_ave_profit" cacheId="19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E3:E4" firstHeaderRow="1" firstDataRow="1" firstDataCol="0"/>
  <pivotFields count="3">
    <pivotField dataField="1" showAll="0"/>
    <pivotField allDrilled="1" showAll="0" dataSourceSort="1" defaultAttributeDrillState="1">
      <items count="1">
        <item t="default"/>
      </items>
    </pivotField>
    <pivotField allDrilled="1" showAll="0" dataSourceSort="1" defaultAttributeDrillState="1"/>
  </pivotFields>
  <rowItems count="1">
    <i/>
  </rowItems>
  <colItems count="1">
    <i/>
  </colItems>
  <dataFields count="1">
    <dataField name="Average of Profit" fld="0" subtotal="average" baseField="0" baseItem="0" numFmtId="167"/>
  </dataFields>
  <formats count="1">
    <format dxfId="22">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ate_Dim].[State].&amp;[Florida]"/>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rofit"/>
    <pivotHierarchy dragToData="1"/>
    <pivotHierarchy dragToData="1"/>
  </pivotHierarchies>
  <pivotTableStyleInfo name="PivotStyleLight16" showRowHeaders="1" showColHeaders="1" showRowStripes="0" showColStripes="0" showLastColumn="1"/>
  <filters count="1">
    <filter fld="1" type="dateBetween" evalOrder="-1" id="1" name="[revenue_Fact].[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pivotTableUISettings>
    </ext>
  </extLst>
</pivotTableDefinition>
</file>

<file path=xl/pivotTables/pivotTable8.xml><?xml version="1.0" encoding="utf-8"?>
<pivotTableDefinition xmlns="http://schemas.openxmlformats.org/spreadsheetml/2006/main" name="PivotTable12" cacheId="113" applyNumberFormats="0" applyBorderFormats="0" applyFontFormats="0" applyPatternFormats="0" applyAlignmentFormats="0" applyWidthHeightFormats="1" dataCaption="Values" tag="df2d5f9a-0031-4444-bc28-56a8e352509f" updatedVersion="6" minRefreshableVersion="5" useAutoFormatting="1" subtotalHiddenItems="1" rowGrandTotals="0" itemPrintTitles="1" createdVersion="6" indent="0" outline="1" outlineData="1" multipleFieldFilters="0" chartFormat="83" rowHeaderCaption="State">
  <location ref="A15:C19" firstHeaderRow="0" firstDataRow="1" firstDataCol="1"/>
  <pivotFields count="5">
    <pivotField dataField="1" showAll="0"/>
    <pivotField axis="axisRow" allDrilled="1" showAll="0" sortType="descending" defaultAttributeDrillState="1">
      <items count="5">
        <item x="0" e="0"/>
        <item x="1" e="0"/>
        <item x="2" e="0"/>
        <item x="3" e="0"/>
        <item t="default"/>
      </items>
      <autoSortScope>
        <pivotArea dataOnly="0" outline="0" fieldPosition="0">
          <references count="1">
            <reference field="4294967294" count="1" selected="0">
              <x v="1"/>
            </reference>
          </references>
        </pivotArea>
      </autoSortScope>
    </pivotField>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items count="1">
        <item t="default"/>
      </items>
    </pivotField>
  </pivotFields>
  <rowFields count="2">
    <field x="1"/>
    <field x="2"/>
  </rowFields>
  <rowItems count="4">
    <i>
      <x v="2"/>
    </i>
    <i>
      <x v="3"/>
    </i>
    <i>
      <x/>
    </i>
    <i>
      <x v="1"/>
    </i>
  </rowItems>
  <colFields count="1">
    <field x="-2"/>
  </colFields>
  <colItems count="2">
    <i>
      <x/>
    </i>
    <i i="1">
      <x v="1"/>
    </i>
  </colItems>
  <dataFields count="2">
    <dataField name="Total Revenue" fld="0" baseField="1" baseItem="1"/>
    <dataField name="Sum of Profit" fld="3" baseField="0" baseItem="0"/>
  </dataFields>
  <formats count="1">
    <format dxfId="23">
      <pivotArea outline="0" collapsedLevelsAreSubtotals="1" fieldPosition="0"/>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2">
    <chartFormat chart="70" format="2" series="1">
      <pivotArea type="data" outline="0" fieldPosition="0">
        <references count="1">
          <reference field="4294967294" count="1" selected="0">
            <x v="0"/>
          </reference>
        </references>
      </pivotArea>
    </chartFormat>
    <chartFormat chart="70" format="3"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 name="[revenue_Fact].[Date]">
      <autoFilter ref="A1">
        <filterColumn colId="0">
          <customFilters and="1">
            <customFilter operator="greaterThanOrEqual" val="45017"/>
            <customFilter operator="lessThanOrEqual" val="45107"/>
          </customFilters>
        </filterColumn>
      </autoFilter>
      <extLst>
        <ext xmlns:x15="http://schemas.microsoft.com/office/spreadsheetml/2010/11/main" uri="{0605FD5F-26C8-4aeb-8148-2DB25E43C511}">
          <x15:pivotFilter useWholeDay="1"/>
        </ext>
      </extLst>
    </filter>
  </filters>
  <rowHierarchiesUsage count="2">
    <rowHierarchyUsage hierarchyUsage="18"/>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venue_Fact]"/>
        <x15:activeTabTopLevelEntity name="[state_Dim]"/>
        <x15:activeTabTopLevelEntity name="[client_Dim]"/>
        <x15:activeTabTopLevelEntity name="[department_Dim]"/>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_Dim].[State]">
  <pivotTables>
    <pivotTable tabId="9" name="P4_highest_state_rev"/>
    <pivotTable tabId="9" name="P1_TotRev"/>
    <pivotTable tabId="9" name="P2_tot_profit"/>
    <pivotTable tabId="9" name="P3_ave_profit"/>
    <pivotTable tabId="9" name="PivotTable15"/>
  </pivotTables>
  <data>
    <olap pivotCacheId="6">
      <levels count="2">
        <level uniqueName="[state_Dim].[State].[(All)]" sourceCaption="(All)" count="0"/>
        <level uniqueName="[state_Dim].[State].[State]" sourceCaption="State" count="4">
          <ranges>
            <range startItem="0">
              <i n="[state_Dim].[State].&amp;[California]" c="California"/>
              <i n="[state_Dim].[State].&amp;[Florida]" c="Florida"/>
              <i n="[state_Dim].[State].&amp;[New York]" c="New York"/>
              <i n="[state_Dim].[State].&amp;[Texas]" c="Texas"/>
            </range>
          </ranges>
        </level>
      </levels>
      <selections count="1">
        <selection n="[state_Dim].[State].&amp;[Florid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level="1" rowHeight="257175"/>
</slicers>
</file>

<file path=xl/tables/table1.xml><?xml version="1.0" encoding="utf-8"?>
<table xmlns="http://schemas.openxmlformats.org/spreadsheetml/2006/main" id="1" name="paymetn_DIm" displayName="paymetn_DIm" ref="A1:B6" totalsRowShown="0" headerRowDxfId="27">
  <autoFilter ref="A1:B6"/>
  <tableColumns count="2">
    <tableColumn id="1" name="Payment"/>
    <tableColumn id="2" name="Payment_id"/>
  </tableColumns>
  <tableStyleInfo name="TableStyleMedium2" showFirstColumn="0" showLastColumn="0" showRowStripes="1" showColumnStripes="0"/>
</table>
</file>

<file path=xl/tables/table2.xml><?xml version="1.0" encoding="utf-8"?>
<table xmlns="http://schemas.openxmlformats.org/spreadsheetml/2006/main" id="2" name="department_Dim" displayName="department_Dim" ref="A1:B5" totalsRowShown="0" headerRowDxfId="26">
  <autoFilter ref="A1:B5"/>
  <tableColumns count="2">
    <tableColumn id="1" name="Department"/>
    <tableColumn id="2" name="Department_id"/>
  </tableColumns>
  <tableStyleInfo name="TableStyleMedium2" showFirstColumn="0" showLastColumn="0" showRowStripes="1" showColumnStripes="0"/>
</table>
</file>

<file path=xl/tables/table3.xml><?xml version="1.0" encoding="utf-8"?>
<table xmlns="http://schemas.openxmlformats.org/spreadsheetml/2006/main" id="3" name="state_Dim" displayName="state_Dim" ref="A1:B5" totalsRowShown="0" headerRowDxfId="25">
  <autoFilter ref="A1:B5"/>
  <tableColumns count="2">
    <tableColumn id="1" name="State"/>
    <tableColumn id="2" name="State_id"/>
  </tableColumns>
  <tableStyleInfo name="TableStyleMedium2" showFirstColumn="0" showLastColumn="0" showRowStripes="1" showColumnStripes="0"/>
</table>
</file>

<file path=xl/tables/table4.xml><?xml version="1.0" encoding="utf-8"?>
<table xmlns="http://schemas.openxmlformats.org/spreadsheetml/2006/main" id="4" name="client_Dim" displayName="client_Dim" ref="A1:D29" totalsRowShown="0" headerRowDxfId="24">
  <autoFilter ref="A1:D29"/>
  <tableColumns count="4">
    <tableColumn id="1" name="Client"/>
    <tableColumn id="2" name="Clien_id"/>
    <tableColumn id="3" name="First Name"/>
    <tableColumn id="4" name="Last Name"/>
  </tableColumns>
  <tableStyleInfo name="TableStyleMedium2" showFirstColumn="0" showLastColumn="0" showRowStripes="1" showColumnStripes="0"/>
</table>
</file>

<file path=xl/tables/table5.xml><?xml version="1.0" encoding="utf-8"?>
<table xmlns="http://schemas.openxmlformats.org/spreadsheetml/2006/main" id="5" name="revenue_Fact" displayName="revenue_Fact" ref="A1:I30" totalsRowShown="0" headerRowDxfId="10" dataDxfId="9">
  <autoFilter ref="A1:I30"/>
  <tableColumns count="9">
    <tableColumn id="1" name="Trans_id" dataDxfId="8"/>
    <tableColumn id="2" name="Date" dataDxfId="7"/>
    <tableColumn id="3" name="Client_id" dataDxfId="6"/>
    <tableColumn id="4" name="Department_id" dataDxfId="5"/>
    <tableColumn id="5" name="State_id" dataDxfId="4"/>
    <tableColumn id="6" name="Payment_id" dataDxfId="3"/>
    <tableColumn id="7" name="Revenue" dataDxfId="2"/>
    <tableColumn id="8" name="Profit" dataDxfId="1"/>
    <tableColumn id="9" name="Profit Margin"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Date" sourceName="[revenue_Fact].[Date]">
  <pivotTables>
    <pivotTable tabId="9" name="PivotTable15"/>
    <pivotTable tabId="9" name="P1_TotRev"/>
    <pivotTable tabId="9" name="P2_tot_profit"/>
    <pivotTable tabId="9" name="P3_ave_profit"/>
    <pivotTable tabId="9" name="P4_highest_state_rev"/>
    <pivotTable tabId="9" name="PivotTable12"/>
    <pivotTable tabId="9" name="PivotTable13"/>
    <pivotTable tabId="9" name="PivotTable8"/>
  </pivotTables>
  <state minimalRefreshVersion="6" lastRefreshVersion="6" pivotCacheId="7" filterType="dateBetween">
    <selection startDate="2023-04-01T00:00:00" endDate="2023-06-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Timeline_Date" caption="Date" level="2" selectionLevel="1" scrollPosition="2023-02-22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zoomScaleNormal="100" workbookViewId="0">
      <selection activeCell="D11" sqref="D11"/>
    </sheetView>
  </sheetViews>
  <sheetFormatPr defaultColWidth="11" defaultRowHeight="15.75" x14ac:dyDescent="0.25"/>
  <cols>
    <col min="1" max="1" width="13.875" customWidth="1"/>
    <col min="2" max="2" width="17.75" customWidth="1"/>
  </cols>
  <sheetData>
    <row r="1" spans="1:2" ht="23.25" x14ac:dyDescent="0.35">
      <c r="A1" s="4" t="s">
        <v>47</v>
      </c>
      <c r="B1" s="4" t="s">
        <v>200</v>
      </c>
    </row>
    <row r="2" spans="1:2" x14ac:dyDescent="0.25">
      <c r="A2" t="s">
        <v>48</v>
      </c>
      <c r="B2" t="s">
        <v>239</v>
      </c>
    </row>
    <row r="3" spans="1:2" x14ac:dyDescent="0.25">
      <c r="A3" t="s">
        <v>50</v>
      </c>
      <c r="B3" t="s">
        <v>240</v>
      </c>
    </row>
    <row r="4" spans="1:2" x14ac:dyDescent="0.25">
      <c r="A4" t="s">
        <v>167</v>
      </c>
      <c r="B4" t="s">
        <v>241</v>
      </c>
    </row>
    <row r="5" spans="1:2" x14ac:dyDescent="0.25">
      <c r="A5" t="s">
        <v>49</v>
      </c>
      <c r="B5" t="s">
        <v>242</v>
      </c>
    </row>
    <row r="6" spans="1:2" x14ac:dyDescent="0.25">
      <c r="A6" t="s">
        <v>51</v>
      </c>
      <c r="B6" t="s">
        <v>243</v>
      </c>
    </row>
  </sheetData>
  <sortState ref="A3:B7">
    <sortCondition ref="A3"/>
  </sortState>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zoomScaleNormal="100" workbookViewId="0">
      <selection activeCell="B2" sqref="B2"/>
    </sheetView>
  </sheetViews>
  <sheetFormatPr defaultColWidth="11" defaultRowHeight="15.75" x14ac:dyDescent="0.25"/>
  <cols>
    <col min="1" max="1" width="18" customWidth="1"/>
    <col min="2" max="2" width="21.875" customWidth="1"/>
  </cols>
  <sheetData>
    <row r="1" spans="1:3" ht="23.25" x14ac:dyDescent="0.35">
      <c r="A1" s="4" t="s">
        <v>6</v>
      </c>
      <c r="B1" s="4" t="s">
        <v>199</v>
      </c>
    </row>
    <row r="2" spans="1:3" x14ac:dyDescent="0.25">
      <c r="A2" t="s">
        <v>165</v>
      </c>
      <c r="B2" t="s">
        <v>231</v>
      </c>
    </row>
    <row r="3" spans="1:3" x14ac:dyDescent="0.25">
      <c r="A3" t="s">
        <v>159</v>
      </c>
      <c r="B3" t="s">
        <v>232</v>
      </c>
    </row>
    <row r="4" spans="1:3" x14ac:dyDescent="0.25">
      <c r="A4" t="s">
        <v>163</v>
      </c>
      <c r="B4" t="s">
        <v>233</v>
      </c>
    </row>
    <row r="5" spans="1:3" x14ac:dyDescent="0.25">
      <c r="A5" t="s">
        <v>161</v>
      </c>
      <c r="B5" t="s">
        <v>234</v>
      </c>
    </row>
    <row r="15" spans="1:3" x14ac:dyDescent="0.25">
      <c r="C15" t="s">
        <v>265</v>
      </c>
    </row>
  </sheetData>
  <sortState ref="A3:B6">
    <sortCondition ref="A3"/>
  </sortState>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zoomScaleNormal="100" workbookViewId="0">
      <selection activeCell="D5" sqref="D5"/>
    </sheetView>
  </sheetViews>
  <sheetFormatPr defaultColWidth="8.875" defaultRowHeight="15.75" x14ac:dyDescent="0.25"/>
  <cols>
    <col min="1" max="1" width="9.125" customWidth="1"/>
    <col min="2" max="2" width="13" customWidth="1"/>
  </cols>
  <sheetData>
    <row r="1" spans="1:2" ht="23.25" x14ac:dyDescent="0.35">
      <c r="A1" s="4" t="s">
        <v>158</v>
      </c>
      <c r="B1" s="4" t="s">
        <v>198</v>
      </c>
    </row>
    <row r="2" spans="1:2" x14ac:dyDescent="0.25">
      <c r="A2" t="s">
        <v>166</v>
      </c>
      <c r="B2" t="s">
        <v>235</v>
      </c>
    </row>
    <row r="3" spans="1:2" x14ac:dyDescent="0.25">
      <c r="A3" t="s">
        <v>164</v>
      </c>
      <c r="B3" t="s">
        <v>236</v>
      </c>
    </row>
    <row r="4" spans="1:2" x14ac:dyDescent="0.25">
      <c r="A4" t="s">
        <v>162</v>
      </c>
      <c r="B4" t="s">
        <v>237</v>
      </c>
    </row>
    <row r="5" spans="1:2" x14ac:dyDescent="0.25">
      <c r="A5" t="s">
        <v>160</v>
      </c>
      <c r="B5" t="s">
        <v>238</v>
      </c>
    </row>
  </sheetData>
  <sortState ref="A3:B6">
    <sortCondition ref="A3"/>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zoomScaleNormal="100" workbookViewId="0">
      <selection activeCell="G22" sqref="G22"/>
    </sheetView>
  </sheetViews>
  <sheetFormatPr defaultColWidth="11" defaultRowHeight="15.75" x14ac:dyDescent="0.25"/>
  <cols>
    <col min="1" max="1" width="32.375" bestFit="1" customWidth="1"/>
    <col min="2" max="2" width="12.875" customWidth="1"/>
    <col min="3" max="3" width="16.375" customWidth="1"/>
    <col min="4" max="4" width="15.875" customWidth="1"/>
  </cols>
  <sheetData>
    <row r="1" spans="1:7" ht="23.25" x14ac:dyDescent="0.35">
      <c r="A1" s="4" t="s">
        <v>5</v>
      </c>
      <c r="B1" s="4" t="s">
        <v>168</v>
      </c>
      <c r="C1" s="4" t="s">
        <v>100</v>
      </c>
      <c r="D1" s="4" t="s">
        <v>101</v>
      </c>
    </row>
    <row r="2" spans="1:7" x14ac:dyDescent="0.25">
      <c r="A2" t="s">
        <v>72</v>
      </c>
      <c r="B2" t="s">
        <v>170</v>
      </c>
      <c r="C2" t="s">
        <v>102</v>
      </c>
      <c r="D2" t="s">
        <v>103</v>
      </c>
    </row>
    <row r="3" spans="1:7" x14ac:dyDescent="0.25">
      <c r="A3" t="s">
        <v>90</v>
      </c>
      <c r="B3" t="s">
        <v>171</v>
      </c>
      <c r="C3" t="s">
        <v>138</v>
      </c>
      <c r="D3" t="s">
        <v>139</v>
      </c>
    </row>
    <row r="4" spans="1:7" x14ac:dyDescent="0.25">
      <c r="A4" t="s">
        <v>80</v>
      </c>
      <c r="B4" t="s">
        <v>172</v>
      </c>
      <c r="C4" t="s">
        <v>118</v>
      </c>
      <c r="D4" t="s">
        <v>119</v>
      </c>
    </row>
    <row r="5" spans="1:7" x14ac:dyDescent="0.25">
      <c r="A5" t="s">
        <v>89</v>
      </c>
      <c r="B5" t="s">
        <v>173</v>
      </c>
      <c r="C5" t="s">
        <v>136</v>
      </c>
      <c r="D5" t="s">
        <v>137</v>
      </c>
    </row>
    <row r="6" spans="1:7" x14ac:dyDescent="0.25">
      <c r="A6" t="s">
        <v>88</v>
      </c>
      <c r="B6" t="s">
        <v>174</v>
      </c>
      <c r="C6" t="s">
        <v>134</v>
      </c>
      <c r="D6" t="s">
        <v>135</v>
      </c>
    </row>
    <row r="7" spans="1:7" x14ac:dyDescent="0.25">
      <c r="A7" t="s">
        <v>79</v>
      </c>
      <c r="B7" t="s">
        <v>175</v>
      </c>
      <c r="C7" t="s">
        <v>116</v>
      </c>
      <c r="D7" t="s">
        <v>117</v>
      </c>
    </row>
    <row r="8" spans="1:7" x14ac:dyDescent="0.25">
      <c r="A8" t="s">
        <v>94</v>
      </c>
      <c r="B8" t="s">
        <v>176</v>
      </c>
      <c r="C8" t="s">
        <v>146</v>
      </c>
      <c r="D8" t="s">
        <v>147</v>
      </c>
    </row>
    <row r="9" spans="1:7" x14ac:dyDescent="0.25">
      <c r="A9" t="s">
        <v>83</v>
      </c>
      <c r="B9" t="s">
        <v>177</v>
      </c>
      <c r="C9" t="s">
        <v>124</v>
      </c>
      <c r="D9" t="s">
        <v>125</v>
      </c>
    </row>
    <row r="10" spans="1:7" x14ac:dyDescent="0.25">
      <c r="A10" t="s">
        <v>95</v>
      </c>
      <c r="B10" t="s">
        <v>178</v>
      </c>
      <c r="C10" t="s">
        <v>148</v>
      </c>
      <c r="D10" t="s">
        <v>149</v>
      </c>
    </row>
    <row r="11" spans="1:7" x14ac:dyDescent="0.25">
      <c r="A11" t="s">
        <v>85</v>
      </c>
      <c r="B11" t="s">
        <v>179</v>
      </c>
      <c r="C11" t="s">
        <v>128</v>
      </c>
      <c r="D11" t="s">
        <v>129</v>
      </c>
    </row>
    <row r="12" spans="1:7" x14ac:dyDescent="0.25">
      <c r="A12" t="s">
        <v>97</v>
      </c>
      <c r="B12" t="s">
        <v>180</v>
      </c>
      <c r="C12" t="s">
        <v>152</v>
      </c>
      <c r="D12" t="s">
        <v>153</v>
      </c>
    </row>
    <row r="13" spans="1:7" x14ac:dyDescent="0.25">
      <c r="A13" t="s">
        <v>98</v>
      </c>
      <c r="B13" t="s">
        <v>181</v>
      </c>
      <c r="C13" t="s">
        <v>154</v>
      </c>
      <c r="D13" t="s">
        <v>155</v>
      </c>
    </row>
    <row r="14" spans="1:7" x14ac:dyDescent="0.25">
      <c r="A14" t="s">
        <v>92</v>
      </c>
      <c r="B14" t="s">
        <v>182</v>
      </c>
      <c r="C14" t="s">
        <v>142</v>
      </c>
      <c r="D14" t="s">
        <v>143</v>
      </c>
      <c r="G14" t="s">
        <v>169</v>
      </c>
    </row>
    <row r="15" spans="1:7" x14ac:dyDescent="0.25">
      <c r="A15" t="s">
        <v>91</v>
      </c>
      <c r="B15" t="s">
        <v>183</v>
      </c>
      <c r="C15" t="s">
        <v>140</v>
      </c>
      <c r="D15" t="s">
        <v>141</v>
      </c>
    </row>
    <row r="16" spans="1:7" x14ac:dyDescent="0.25">
      <c r="A16" t="s">
        <v>96</v>
      </c>
      <c r="B16" t="s">
        <v>184</v>
      </c>
      <c r="C16" t="s">
        <v>150</v>
      </c>
      <c r="D16" t="s">
        <v>151</v>
      </c>
    </row>
    <row r="17" spans="1:4" x14ac:dyDescent="0.25">
      <c r="A17" t="s">
        <v>77</v>
      </c>
      <c r="B17" t="s">
        <v>185</v>
      </c>
      <c r="C17" t="s">
        <v>112</v>
      </c>
      <c r="D17" t="s">
        <v>113</v>
      </c>
    </row>
    <row r="18" spans="1:4" x14ac:dyDescent="0.25">
      <c r="A18" t="s">
        <v>99</v>
      </c>
      <c r="B18" t="s">
        <v>186</v>
      </c>
      <c r="C18" t="s">
        <v>156</v>
      </c>
      <c r="D18" t="s">
        <v>157</v>
      </c>
    </row>
    <row r="19" spans="1:4" x14ac:dyDescent="0.25">
      <c r="A19" t="s">
        <v>84</v>
      </c>
      <c r="B19" t="s">
        <v>187</v>
      </c>
      <c r="C19" t="s">
        <v>126</v>
      </c>
      <c r="D19" t="s">
        <v>127</v>
      </c>
    </row>
    <row r="20" spans="1:4" x14ac:dyDescent="0.25">
      <c r="A20" t="s">
        <v>93</v>
      </c>
      <c r="B20" t="s">
        <v>188</v>
      </c>
      <c r="C20" t="s">
        <v>144</v>
      </c>
      <c r="D20" t="s">
        <v>145</v>
      </c>
    </row>
    <row r="21" spans="1:4" x14ac:dyDescent="0.25">
      <c r="A21" t="s">
        <v>78</v>
      </c>
      <c r="B21" t="s">
        <v>189</v>
      </c>
      <c r="C21" t="s">
        <v>114</v>
      </c>
      <c r="D21" t="s">
        <v>115</v>
      </c>
    </row>
    <row r="22" spans="1:4" x14ac:dyDescent="0.25">
      <c r="A22" t="s">
        <v>74</v>
      </c>
      <c r="B22" t="s">
        <v>190</v>
      </c>
      <c r="C22" t="s">
        <v>106</v>
      </c>
      <c r="D22" t="s">
        <v>107</v>
      </c>
    </row>
    <row r="23" spans="1:4" x14ac:dyDescent="0.25">
      <c r="A23" t="s">
        <v>82</v>
      </c>
      <c r="B23" t="s">
        <v>191</v>
      </c>
      <c r="C23" t="s">
        <v>122</v>
      </c>
      <c r="D23" t="s">
        <v>123</v>
      </c>
    </row>
    <row r="24" spans="1:4" x14ac:dyDescent="0.25">
      <c r="A24" t="s">
        <v>73</v>
      </c>
      <c r="B24" t="s">
        <v>192</v>
      </c>
      <c r="C24" t="s">
        <v>104</v>
      </c>
      <c r="D24" t="s">
        <v>105</v>
      </c>
    </row>
    <row r="25" spans="1:4" x14ac:dyDescent="0.25">
      <c r="A25" t="s">
        <v>76</v>
      </c>
      <c r="B25" t="s">
        <v>193</v>
      </c>
      <c r="C25" t="s">
        <v>110</v>
      </c>
      <c r="D25" t="s">
        <v>111</v>
      </c>
    </row>
    <row r="26" spans="1:4" x14ac:dyDescent="0.25">
      <c r="A26" t="s">
        <v>87</v>
      </c>
      <c r="B26" t="s">
        <v>194</v>
      </c>
      <c r="C26" t="s">
        <v>132</v>
      </c>
      <c r="D26" t="s">
        <v>133</v>
      </c>
    </row>
    <row r="27" spans="1:4" x14ac:dyDescent="0.25">
      <c r="A27" t="s">
        <v>75</v>
      </c>
      <c r="B27" t="s">
        <v>195</v>
      </c>
      <c r="C27" t="s">
        <v>108</v>
      </c>
      <c r="D27" t="s">
        <v>109</v>
      </c>
    </row>
    <row r="28" spans="1:4" x14ac:dyDescent="0.25">
      <c r="A28" t="s">
        <v>86</v>
      </c>
      <c r="B28" t="s">
        <v>196</v>
      </c>
      <c r="C28" t="s">
        <v>130</v>
      </c>
      <c r="D28" t="s">
        <v>131</v>
      </c>
    </row>
    <row r="29" spans="1:4" x14ac:dyDescent="0.25">
      <c r="A29" t="s">
        <v>81</v>
      </c>
      <c r="B29" t="s">
        <v>197</v>
      </c>
      <c r="C29" t="s">
        <v>120</v>
      </c>
      <c r="D29" t="s">
        <v>121</v>
      </c>
    </row>
  </sheetData>
  <sortState ref="B3:D30">
    <sortCondition ref="B3"/>
  </sortState>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6"/>
  <sheetViews>
    <sheetView zoomScale="70" zoomScaleNormal="70" workbookViewId="0">
      <selection activeCell="G21" sqref="G21"/>
    </sheetView>
  </sheetViews>
  <sheetFormatPr defaultRowHeight="15.75" x14ac:dyDescent="0.25"/>
  <cols>
    <col min="1" max="1" width="8.375" customWidth="1"/>
    <col min="2" max="2" width="13.25" customWidth="1"/>
    <col min="3" max="3" width="12.25" bestFit="1" customWidth="1"/>
    <col min="4" max="4" width="11" customWidth="1"/>
    <col min="5" max="5" width="15.625" customWidth="1"/>
    <col min="6" max="6" width="13.25" customWidth="1"/>
    <col min="7" max="7" width="22.5" customWidth="1"/>
    <col min="8" max="8" width="11.5" customWidth="1"/>
    <col min="9" max="9" width="23.25" bestFit="1" customWidth="1"/>
  </cols>
  <sheetData>
    <row r="2" spans="1:9" x14ac:dyDescent="0.25">
      <c r="A2" s="16" t="s">
        <v>249</v>
      </c>
      <c r="C2" s="16" t="s">
        <v>250</v>
      </c>
      <c r="E2" s="16" t="s">
        <v>251</v>
      </c>
      <c r="G2" s="16" t="s">
        <v>252</v>
      </c>
      <c r="I2" s="16"/>
    </row>
    <row r="3" spans="1:9" x14ac:dyDescent="0.25">
      <c r="A3" t="s">
        <v>245</v>
      </c>
      <c r="C3" t="s">
        <v>246</v>
      </c>
      <c r="E3" t="s">
        <v>247</v>
      </c>
      <c r="G3" t="s">
        <v>248</v>
      </c>
    </row>
    <row r="4" spans="1:9" x14ac:dyDescent="0.25">
      <c r="A4" s="14">
        <v>28064.224137931036</v>
      </c>
      <c r="C4" s="14">
        <v>4204</v>
      </c>
      <c r="E4" s="14">
        <v>840.8</v>
      </c>
      <c r="G4" s="15">
        <v>0.2123915634781266</v>
      </c>
      <c r="I4" s="15"/>
    </row>
    <row r="7" spans="1:9" x14ac:dyDescent="0.25">
      <c r="A7" s="17" t="s">
        <v>253</v>
      </c>
      <c r="B7" s="17"/>
      <c r="E7" t="s">
        <v>261</v>
      </c>
    </row>
    <row r="8" spans="1:9" x14ac:dyDescent="0.25">
      <c r="A8" s="13" t="s">
        <v>158</v>
      </c>
      <c r="B8" t="s">
        <v>254</v>
      </c>
      <c r="E8" s="13" t="s">
        <v>5</v>
      </c>
      <c r="F8" t="s">
        <v>254</v>
      </c>
    </row>
    <row r="9" spans="1:9" x14ac:dyDescent="0.25">
      <c r="A9" s="6" t="s">
        <v>164</v>
      </c>
      <c r="B9" s="14">
        <v>28064.224137931036</v>
      </c>
      <c r="E9" s="6" t="s">
        <v>255</v>
      </c>
      <c r="F9" s="14">
        <v>150000</v>
      </c>
    </row>
    <row r="10" spans="1:9" x14ac:dyDescent="0.25">
      <c r="E10" s="6" t="s">
        <v>259</v>
      </c>
      <c r="F10" s="14">
        <v>10800</v>
      </c>
    </row>
    <row r="11" spans="1:9" x14ac:dyDescent="0.25">
      <c r="E11" s="6" t="s">
        <v>258</v>
      </c>
      <c r="F11" s="14">
        <v>7500</v>
      </c>
    </row>
    <row r="12" spans="1:9" x14ac:dyDescent="0.25">
      <c r="E12" s="6" t="s">
        <v>256</v>
      </c>
      <c r="F12" s="14">
        <v>7320</v>
      </c>
    </row>
    <row r="13" spans="1:9" x14ac:dyDescent="0.25">
      <c r="E13" s="6" t="s">
        <v>257</v>
      </c>
      <c r="F13" s="14">
        <v>6500</v>
      </c>
    </row>
    <row r="14" spans="1:9" x14ac:dyDescent="0.25">
      <c r="A14" s="17" t="s">
        <v>260</v>
      </c>
      <c r="B14" s="17"/>
    </row>
    <row r="15" spans="1:9" x14ac:dyDescent="0.25">
      <c r="A15" s="13" t="s">
        <v>158</v>
      </c>
      <c r="B15" t="s">
        <v>254</v>
      </c>
      <c r="C15" t="s">
        <v>246</v>
      </c>
    </row>
    <row r="16" spans="1:9" x14ac:dyDescent="0.25">
      <c r="A16" s="6" t="s">
        <v>162</v>
      </c>
      <c r="B16" s="14">
        <v>41537.5</v>
      </c>
      <c r="C16" s="14">
        <v>8827</v>
      </c>
    </row>
    <row r="17" spans="1:3" x14ac:dyDescent="0.25">
      <c r="A17" s="6" t="s">
        <v>160</v>
      </c>
      <c r="B17" s="14">
        <v>183375</v>
      </c>
      <c r="C17" s="14">
        <v>8616</v>
      </c>
    </row>
    <row r="18" spans="1:3" x14ac:dyDescent="0.25">
      <c r="A18" s="6" t="s">
        <v>166</v>
      </c>
      <c r="B18" s="14">
        <v>37244.224137931036</v>
      </c>
      <c r="C18" s="14">
        <v>7738</v>
      </c>
    </row>
    <row r="19" spans="1:3" x14ac:dyDescent="0.25">
      <c r="A19" s="6" t="s">
        <v>164</v>
      </c>
      <c r="B19" s="14">
        <v>28064.224137931036</v>
      </c>
      <c r="C19" s="14">
        <v>4204</v>
      </c>
    </row>
    <row r="23" spans="1:3" ht="36.75" customHeight="1" x14ac:dyDescent="0.25">
      <c r="A23" s="18" t="s">
        <v>264</v>
      </c>
      <c r="B23" s="18"/>
    </row>
    <row r="24" spans="1:3" x14ac:dyDescent="0.25">
      <c r="A24" s="13" t="s">
        <v>158</v>
      </c>
      <c r="B24" t="s">
        <v>254</v>
      </c>
    </row>
    <row r="25" spans="1:3" x14ac:dyDescent="0.25">
      <c r="A25" s="6" t="s">
        <v>262</v>
      </c>
      <c r="B25" s="14">
        <v>15994.224137931034</v>
      </c>
    </row>
    <row r="26" spans="1:3" x14ac:dyDescent="0.25">
      <c r="A26" s="6" t="s">
        <v>263</v>
      </c>
      <c r="B26" s="14">
        <v>12070</v>
      </c>
    </row>
  </sheetData>
  <mergeCells count="3">
    <mergeCell ref="A7:B7"/>
    <mergeCell ref="A14:B14"/>
    <mergeCell ref="A23:B23"/>
  </mergeCells>
  <conditionalFormatting pivot="1" sqref="B9">
    <cfRule type="dataBar" priority="4">
      <dataBar>
        <cfvo type="min"/>
        <cfvo type="max"/>
        <color rgb="FF63C384"/>
      </dataBar>
      <extLst>
        <ext xmlns:x14="http://schemas.microsoft.com/office/spreadsheetml/2009/9/main" uri="{B025F937-C7B1-47D3-B67F-A62EFF666E3E}">
          <x14:id>{95D9FD09-22AA-407B-9B4F-A59C3992034F}</x14:id>
        </ext>
      </extLst>
    </cfRule>
  </conditionalFormatting>
  <conditionalFormatting pivot="1" sqref="B16:B19">
    <cfRule type="dataBar" priority="3">
      <dataBar>
        <cfvo type="min"/>
        <cfvo type="max"/>
        <color rgb="FF63C384"/>
      </dataBar>
      <extLst>
        <ext xmlns:x14="http://schemas.microsoft.com/office/spreadsheetml/2009/9/main" uri="{B025F937-C7B1-47D3-B67F-A62EFF666E3E}">
          <x14:id>{DEE2CAC0-7054-4D87-B1E3-E48937A6A932}</x14:id>
        </ext>
      </extLst>
    </cfRule>
  </conditionalFormatting>
  <conditionalFormatting pivot="1" sqref="F9:F13">
    <cfRule type="dataBar" priority="2">
      <dataBar>
        <cfvo type="min"/>
        <cfvo type="max"/>
        <color rgb="FF63C384"/>
      </dataBar>
      <extLst>
        <ext xmlns:x14="http://schemas.microsoft.com/office/spreadsheetml/2009/9/main" uri="{B025F937-C7B1-47D3-B67F-A62EFF666E3E}">
          <x14:id>{2EF69920-6EBB-4A3C-BD67-547E42767BE4}</x14:id>
        </ext>
      </extLst>
    </cfRule>
  </conditionalFormatting>
  <conditionalFormatting pivot="1" sqref="B25:B26">
    <cfRule type="dataBar" priority="1">
      <dataBar>
        <cfvo type="min"/>
        <cfvo type="max"/>
        <color rgb="FF63C384"/>
      </dataBar>
      <extLst>
        <ext xmlns:x14="http://schemas.microsoft.com/office/spreadsheetml/2009/9/main" uri="{B025F937-C7B1-47D3-B67F-A62EFF666E3E}">
          <x14:id>{9C1454E0-58AB-4AA3-B9F7-FB80B17B4D06}</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pivot="1">
          <x14:cfRule type="dataBar" id="{95D9FD09-22AA-407B-9B4F-A59C3992034F}">
            <x14:dataBar minLength="0" maxLength="100" border="1" negativeBarBorderColorSameAsPositive="0">
              <x14:cfvo type="autoMin"/>
              <x14:cfvo type="autoMax"/>
              <x14:borderColor rgb="FF63C384"/>
              <x14:negativeFillColor rgb="FFFF0000"/>
              <x14:negativeBorderColor rgb="FFFF0000"/>
              <x14:axisColor rgb="FF000000"/>
            </x14:dataBar>
          </x14:cfRule>
          <xm:sqref>B9</xm:sqref>
        </x14:conditionalFormatting>
        <x14:conditionalFormatting xmlns:xm="http://schemas.microsoft.com/office/excel/2006/main" pivot="1">
          <x14:cfRule type="dataBar" id="{DEE2CAC0-7054-4D87-B1E3-E48937A6A932}">
            <x14:dataBar minLength="0" maxLength="100" border="1" negativeBarBorderColorSameAsPositive="0">
              <x14:cfvo type="autoMin"/>
              <x14:cfvo type="autoMax"/>
              <x14:borderColor rgb="FF63C384"/>
              <x14:negativeFillColor rgb="FFFF0000"/>
              <x14:negativeBorderColor rgb="FFFF0000"/>
              <x14:axisColor rgb="FF000000"/>
            </x14:dataBar>
          </x14:cfRule>
          <xm:sqref>B16:B19</xm:sqref>
        </x14:conditionalFormatting>
        <x14:conditionalFormatting xmlns:xm="http://schemas.microsoft.com/office/excel/2006/main" pivot="1">
          <x14:cfRule type="dataBar" id="{2EF69920-6EBB-4A3C-BD67-547E42767BE4}">
            <x14:dataBar minLength="0" maxLength="100" border="1" negativeBarBorderColorSameAsPositive="0">
              <x14:cfvo type="autoMin"/>
              <x14:cfvo type="autoMax"/>
              <x14:borderColor rgb="FF63C384"/>
              <x14:negativeFillColor rgb="FFFF0000"/>
              <x14:negativeBorderColor rgb="FFFF0000"/>
              <x14:axisColor rgb="FF000000"/>
            </x14:dataBar>
          </x14:cfRule>
          <xm:sqref>F9:F13</xm:sqref>
        </x14:conditionalFormatting>
        <x14:conditionalFormatting xmlns:xm="http://schemas.microsoft.com/office/excel/2006/main" pivot="1">
          <x14:cfRule type="dataBar" id="{9C1454E0-58AB-4AA3-B9F7-FB80B17B4D06}">
            <x14:dataBar minLength="0" maxLength="100" border="1" negativeBarBorderColorSameAsPositive="0">
              <x14:cfvo type="autoMin"/>
              <x14:cfvo type="autoMax"/>
              <x14:borderColor rgb="FF63C384"/>
              <x14:negativeFillColor rgb="FFFF0000"/>
              <x14:negativeBorderColor rgb="FFFF0000"/>
              <x14:axisColor rgb="FF000000"/>
            </x14:dataBar>
          </x14:cfRule>
          <xm:sqref>B25:B26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zoomScale="85" zoomScaleNormal="85" workbookViewId="0">
      <selection activeCell="G3" sqref="G3"/>
    </sheetView>
  </sheetViews>
  <sheetFormatPr defaultColWidth="11" defaultRowHeight="15.75" x14ac:dyDescent="0.25"/>
  <cols>
    <col min="1" max="1" width="16.625" bestFit="1" customWidth="1"/>
    <col min="2" max="2" width="11.875" bestFit="1" customWidth="1"/>
    <col min="3" max="3" width="17" bestFit="1" customWidth="1"/>
    <col min="4" max="4" width="25.125" bestFit="1" customWidth="1"/>
    <col min="5" max="5" width="16.125" bestFit="1" customWidth="1"/>
    <col min="6" max="6" width="20.875" bestFit="1" customWidth="1"/>
    <col min="7" max="7" width="16.625" bestFit="1" customWidth="1"/>
    <col min="8" max="8" width="12.875" bestFit="1" customWidth="1"/>
    <col min="9" max="9" width="22.5" bestFit="1" customWidth="1"/>
  </cols>
  <sheetData>
    <row r="1" spans="1:9" ht="23.25" x14ac:dyDescent="0.35">
      <c r="A1" s="4" t="s">
        <v>201</v>
      </c>
      <c r="B1" s="4" t="s">
        <v>0</v>
      </c>
      <c r="C1" s="4" t="s">
        <v>230</v>
      </c>
      <c r="D1" s="4" t="s">
        <v>199</v>
      </c>
      <c r="E1" s="4" t="s">
        <v>198</v>
      </c>
      <c r="F1" s="4" t="s">
        <v>200</v>
      </c>
      <c r="G1" s="4" t="s">
        <v>2</v>
      </c>
      <c r="H1" s="4" t="s">
        <v>3</v>
      </c>
      <c r="I1" s="4" t="s">
        <v>4</v>
      </c>
    </row>
    <row r="2" spans="1:9" x14ac:dyDescent="0.25">
      <c r="A2" s="7" t="s">
        <v>202</v>
      </c>
      <c r="B2" s="8">
        <v>45076</v>
      </c>
      <c r="C2" s="9" t="s">
        <v>170</v>
      </c>
      <c r="D2" s="6" t="s">
        <v>232</v>
      </c>
      <c r="E2" s="6" t="s">
        <v>238</v>
      </c>
      <c r="F2" s="6" t="s">
        <v>243</v>
      </c>
      <c r="G2" s="10">
        <v>150000</v>
      </c>
      <c r="H2" s="10">
        <v>598</v>
      </c>
      <c r="I2" s="11">
        <v>0.13288888888888889</v>
      </c>
    </row>
    <row r="3" spans="1:9" x14ac:dyDescent="0.25">
      <c r="A3" s="7" t="s">
        <v>203</v>
      </c>
      <c r="B3" s="8">
        <v>45076</v>
      </c>
      <c r="C3" s="9" t="s">
        <v>192</v>
      </c>
      <c r="D3" s="6" t="s">
        <v>234</v>
      </c>
      <c r="E3" s="6" t="s">
        <v>237</v>
      </c>
      <c r="F3" s="6" t="s">
        <v>242</v>
      </c>
      <c r="G3" s="10">
        <v>3800</v>
      </c>
      <c r="H3" s="10">
        <v>1045</v>
      </c>
      <c r="I3" s="11">
        <v>0.27500000000000002</v>
      </c>
    </row>
    <row r="4" spans="1:9" x14ac:dyDescent="0.25">
      <c r="A4" s="7" t="s">
        <v>204</v>
      </c>
      <c r="B4" s="8">
        <v>45076</v>
      </c>
      <c r="C4" s="9" t="s">
        <v>190</v>
      </c>
      <c r="D4" s="6" t="s">
        <v>234</v>
      </c>
      <c r="E4" s="6" t="s">
        <v>237</v>
      </c>
      <c r="F4" s="6" t="s">
        <v>241</v>
      </c>
      <c r="G4" s="10">
        <v>3712.5</v>
      </c>
      <c r="H4" s="10">
        <v>1009</v>
      </c>
      <c r="I4" s="11">
        <v>0.2717845117845118</v>
      </c>
    </row>
    <row r="5" spans="1:9" x14ac:dyDescent="0.25">
      <c r="A5" s="7" t="s">
        <v>205</v>
      </c>
      <c r="B5" s="8">
        <v>45076</v>
      </c>
      <c r="C5" s="9" t="s">
        <v>195</v>
      </c>
      <c r="D5" s="6" t="s">
        <v>233</v>
      </c>
      <c r="E5" s="6" t="s">
        <v>236</v>
      </c>
      <c r="F5" s="6" t="s">
        <v>241</v>
      </c>
      <c r="G5" s="12">
        <v>4994.2241379310344</v>
      </c>
      <c r="H5" s="10">
        <v>779</v>
      </c>
      <c r="I5" s="11">
        <v>0.15598018400566172</v>
      </c>
    </row>
    <row r="6" spans="1:9" x14ac:dyDescent="0.25">
      <c r="A6" s="7" t="s">
        <v>206</v>
      </c>
      <c r="B6" s="8">
        <v>45076</v>
      </c>
      <c r="C6" s="9" t="s">
        <v>193</v>
      </c>
      <c r="D6" s="6" t="s">
        <v>233</v>
      </c>
      <c r="E6" s="6" t="s">
        <v>236</v>
      </c>
      <c r="F6" s="6" t="s">
        <v>240</v>
      </c>
      <c r="G6" s="12">
        <v>5000</v>
      </c>
      <c r="H6" s="10">
        <v>684</v>
      </c>
      <c r="I6" s="11">
        <v>0.1368</v>
      </c>
    </row>
    <row r="7" spans="1:9" x14ac:dyDescent="0.25">
      <c r="A7" s="7" t="s">
        <v>207</v>
      </c>
      <c r="B7" s="8">
        <v>45077</v>
      </c>
      <c r="C7" s="9" t="s">
        <v>185</v>
      </c>
      <c r="D7" s="6" t="s">
        <v>232</v>
      </c>
      <c r="E7" s="6" t="s">
        <v>238</v>
      </c>
      <c r="F7" s="6" t="s">
        <v>243</v>
      </c>
      <c r="G7" s="12">
        <v>6100</v>
      </c>
      <c r="H7" s="10">
        <v>544</v>
      </c>
      <c r="I7" s="11">
        <v>8.9180327868852466E-2</v>
      </c>
    </row>
    <row r="8" spans="1:9" x14ac:dyDescent="0.25">
      <c r="A8" s="7" t="s">
        <v>208</v>
      </c>
      <c r="B8" s="8">
        <v>45077</v>
      </c>
      <c r="C8" s="9" t="s">
        <v>189</v>
      </c>
      <c r="D8" s="6" t="s">
        <v>232</v>
      </c>
      <c r="E8" s="6" t="s">
        <v>238</v>
      </c>
      <c r="F8" s="6" t="s">
        <v>243</v>
      </c>
      <c r="G8" s="12">
        <v>4625</v>
      </c>
      <c r="H8" s="10">
        <v>670</v>
      </c>
      <c r="I8" s="11">
        <v>0.14486486486486486</v>
      </c>
    </row>
    <row r="9" spans="1:9" x14ac:dyDescent="0.25">
      <c r="A9" s="7" t="s">
        <v>209</v>
      </c>
      <c r="B9" s="8">
        <v>45077</v>
      </c>
      <c r="C9" s="9" t="s">
        <v>175</v>
      </c>
      <c r="D9" s="6" t="s">
        <v>232</v>
      </c>
      <c r="E9" s="6" t="s">
        <v>238</v>
      </c>
      <c r="F9" s="6" t="s">
        <v>243</v>
      </c>
      <c r="G9" s="12">
        <v>3800</v>
      </c>
      <c r="H9" s="10">
        <v>2045</v>
      </c>
      <c r="I9" s="11">
        <v>0.53815789473684206</v>
      </c>
    </row>
    <row r="10" spans="1:9" x14ac:dyDescent="0.25">
      <c r="A10" s="7" t="s">
        <v>210</v>
      </c>
      <c r="B10" s="8">
        <v>45077</v>
      </c>
      <c r="C10" s="9" t="s">
        <v>172</v>
      </c>
      <c r="D10" s="6" t="s">
        <v>232</v>
      </c>
      <c r="E10" s="6" t="s">
        <v>238</v>
      </c>
      <c r="F10" s="6" t="s">
        <v>239</v>
      </c>
      <c r="G10" s="12">
        <v>3600</v>
      </c>
      <c r="H10" s="10">
        <v>1564</v>
      </c>
      <c r="I10" s="11">
        <v>0.43444444444444447</v>
      </c>
    </row>
    <row r="11" spans="1:9" x14ac:dyDescent="0.25">
      <c r="A11" s="7" t="s">
        <v>211</v>
      </c>
      <c r="B11" s="8">
        <v>45077</v>
      </c>
      <c r="C11" s="9" t="s">
        <v>197</v>
      </c>
      <c r="D11" s="6" t="s">
        <v>232</v>
      </c>
      <c r="E11" s="6" t="s">
        <v>238</v>
      </c>
      <c r="F11" s="6" t="s">
        <v>240</v>
      </c>
      <c r="G11" s="12">
        <v>5100</v>
      </c>
      <c r="H11" s="10">
        <v>1220</v>
      </c>
      <c r="I11" s="11">
        <v>0.23921568627450981</v>
      </c>
    </row>
    <row r="12" spans="1:9" x14ac:dyDescent="0.25">
      <c r="A12" s="7" t="s">
        <v>212</v>
      </c>
      <c r="B12" s="8">
        <v>45077</v>
      </c>
      <c r="C12" s="9" t="s">
        <v>191</v>
      </c>
      <c r="D12" s="6" t="s">
        <v>232</v>
      </c>
      <c r="E12" s="6" t="s">
        <v>238</v>
      </c>
      <c r="F12" s="6" t="s">
        <v>240</v>
      </c>
      <c r="G12" s="12">
        <v>4750</v>
      </c>
      <c r="H12" s="10">
        <v>1435</v>
      </c>
      <c r="I12" s="11">
        <v>0.30210526315789471</v>
      </c>
    </row>
    <row r="13" spans="1:9" x14ac:dyDescent="0.25">
      <c r="A13" s="7" t="s">
        <v>213</v>
      </c>
      <c r="B13" s="8">
        <v>45077</v>
      </c>
      <c r="C13" s="9" t="s">
        <v>177</v>
      </c>
      <c r="D13" s="6" t="s">
        <v>233</v>
      </c>
      <c r="E13" s="6" t="s">
        <v>236</v>
      </c>
      <c r="F13" s="6" t="s">
        <v>243</v>
      </c>
      <c r="G13" s="12">
        <v>6000</v>
      </c>
      <c r="H13" s="10">
        <v>998</v>
      </c>
      <c r="I13" s="11">
        <v>0.16633333333333333</v>
      </c>
    </row>
    <row r="14" spans="1:9" x14ac:dyDescent="0.25">
      <c r="A14" s="7" t="s">
        <v>214</v>
      </c>
      <c r="B14" s="8">
        <v>45077</v>
      </c>
      <c r="C14" s="9" t="s">
        <v>187</v>
      </c>
      <c r="D14" s="6" t="s">
        <v>231</v>
      </c>
      <c r="E14" s="6" t="s">
        <v>235</v>
      </c>
      <c r="F14" s="6" t="s">
        <v>240</v>
      </c>
      <c r="G14" s="12">
        <v>4500</v>
      </c>
      <c r="H14" s="10">
        <v>780</v>
      </c>
      <c r="I14" s="11">
        <v>0.17333333333333334</v>
      </c>
    </row>
    <row r="15" spans="1:9" x14ac:dyDescent="0.25">
      <c r="A15" s="7" t="s">
        <v>215</v>
      </c>
      <c r="B15" s="8">
        <v>45078</v>
      </c>
      <c r="C15" s="9" t="s">
        <v>179</v>
      </c>
      <c r="D15" s="6" t="s">
        <v>231</v>
      </c>
      <c r="E15" s="6" t="s">
        <v>235</v>
      </c>
      <c r="F15" s="6" t="s">
        <v>239</v>
      </c>
      <c r="G15" s="12">
        <v>4994.2241379310344</v>
      </c>
      <c r="H15" s="10">
        <v>1044</v>
      </c>
      <c r="I15" s="11">
        <v>0.20904147894982134</v>
      </c>
    </row>
    <row r="16" spans="1:9" x14ac:dyDescent="0.25">
      <c r="A16" s="7" t="s">
        <v>216</v>
      </c>
      <c r="B16" s="8">
        <v>45078</v>
      </c>
      <c r="C16" s="9" t="s">
        <v>196</v>
      </c>
      <c r="D16" s="6" t="s">
        <v>231</v>
      </c>
      <c r="E16" s="6" t="s">
        <v>235</v>
      </c>
      <c r="F16" s="6" t="s">
        <v>243</v>
      </c>
      <c r="G16" s="10">
        <v>3712.5</v>
      </c>
      <c r="H16" s="10">
        <v>1222</v>
      </c>
      <c r="I16" s="11">
        <v>0.32915824915824915</v>
      </c>
    </row>
    <row r="17" spans="1:9" x14ac:dyDescent="0.25">
      <c r="A17" s="7" t="s">
        <v>217</v>
      </c>
      <c r="B17" s="8">
        <v>45078</v>
      </c>
      <c r="C17" s="9" t="s">
        <v>194</v>
      </c>
      <c r="D17" s="6" t="s">
        <v>231</v>
      </c>
      <c r="E17" s="6" t="s">
        <v>235</v>
      </c>
      <c r="F17" s="6" t="s">
        <v>243</v>
      </c>
      <c r="G17" s="10">
        <v>4950</v>
      </c>
      <c r="H17" s="10">
        <v>1065</v>
      </c>
      <c r="I17" s="11">
        <v>0.21515151515151515</v>
      </c>
    </row>
    <row r="18" spans="1:9" x14ac:dyDescent="0.25">
      <c r="A18" s="7" t="s">
        <v>218</v>
      </c>
      <c r="B18" s="8">
        <v>45078</v>
      </c>
      <c r="C18" s="9" t="s">
        <v>174</v>
      </c>
      <c r="D18" s="6" t="s">
        <v>233</v>
      </c>
      <c r="E18" s="6" t="s">
        <v>236</v>
      </c>
      <c r="F18" s="6" t="s">
        <v>243</v>
      </c>
      <c r="G18" s="10">
        <v>4750</v>
      </c>
      <c r="H18" s="10">
        <v>810</v>
      </c>
      <c r="I18" s="11">
        <v>0.17052631578947369</v>
      </c>
    </row>
    <row r="19" spans="1:9" x14ac:dyDescent="0.25">
      <c r="A19" s="7" t="s">
        <v>219</v>
      </c>
      <c r="B19" s="8">
        <v>45078</v>
      </c>
      <c r="C19" s="9" t="s">
        <v>173</v>
      </c>
      <c r="D19" s="6" t="s">
        <v>233</v>
      </c>
      <c r="E19" s="6" t="s">
        <v>236</v>
      </c>
      <c r="F19" s="6" t="s">
        <v>243</v>
      </c>
      <c r="G19" s="10">
        <v>7320</v>
      </c>
      <c r="H19" s="10">
        <v>933</v>
      </c>
      <c r="I19" s="11">
        <v>0.12745901639344262</v>
      </c>
    </row>
    <row r="20" spans="1:9" x14ac:dyDescent="0.25">
      <c r="A20" s="7" t="s">
        <v>220</v>
      </c>
      <c r="B20" s="8">
        <v>45078</v>
      </c>
      <c r="C20" s="9" t="s">
        <v>171</v>
      </c>
      <c r="D20" s="6" t="s">
        <v>231</v>
      </c>
      <c r="E20" s="6" t="s">
        <v>235</v>
      </c>
      <c r="F20" s="6" t="s">
        <v>243</v>
      </c>
      <c r="G20" s="10">
        <v>5087.5</v>
      </c>
      <c r="H20" s="10">
        <v>655</v>
      </c>
      <c r="I20" s="11">
        <v>0.12874692874692875</v>
      </c>
    </row>
    <row r="21" spans="1:9" x14ac:dyDescent="0.25">
      <c r="A21" s="7" t="s">
        <v>221</v>
      </c>
      <c r="B21" s="8">
        <v>45078</v>
      </c>
      <c r="C21" s="9" t="s">
        <v>183</v>
      </c>
      <c r="D21" s="6" t="s">
        <v>231</v>
      </c>
      <c r="E21" s="6" t="s">
        <v>235</v>
      </c>
      <c r="F21" s="6" t="s">
        <v>243</v>
      </c>
      <c r="G21" s="10">
        <v>4500</v>
      </c>
      <c r="H21" s="10">
        <v>722</v>
      </c>
      <c r="I21" s="11">
        <v>0.16044444444444445</v>
      </c>
    </row>
    <row r="22" spans="1:9" x14ac:dyDescent="0.25">
      <c r="A22" s="7" t="s">
        <v>222</v>
      </c>
      <c r="B22" s="8">
        <v>45078</v>
      </c>
      <c r="C22" s="9" t="s">
        <v>182</v>
      </c>
      <c r="D22" s="6" t="s">
        <v>231</v>
      </c>
      <c r="E22" s="6" t="s">
        <v>235</v>
      </c>
      <c r="F22" s="6" t="s">
        <v>239</v>
      </c>
      <c r="G22" s="10">
        <v>4250</v>
      </c>
      <c r="H22" s="10">
        <v>901</v>
      </c>
      <c r="I22" s="11">
        <v>0.21199999999999999</v>
      </c>
    </row>
    <row r="23" spans="1:9" x14ac:dyDescent="0.25">
      <c r="A23" s="7" t="s">
        <v>223</v>
      </c>
      <c r="B23" s="8">
        <v>45079</v>
      </c>
      <c r="C23" s="9" t="s">
        <v>188</v>
      </c>
      <c r="D23" s="6" t="s">
        <v>231</v>
      </c>
      <c r="E23" s="6" t="s">
        <v>235</v>
      </c>
      <c r="F23" s="6" t="s">
        <v>242</v>
      </c>
      <c r="G23" s="10">
        <v>5250</v>
      </c>
      <c r="H23" s="10">
        <v>1349</v>
      </c>
      <c r="I23" s="11">
        <v>0.25695238095238093</v>
      </c>
    </row>
    <row r="24" spans="1:9" x14ac:dyDescent="0.25">
      <c r="A24" s="7" t="s">
        <v>224</v>
      </c>
      <c r="B24" s="8">
        <v>45079</v>
      </c>
      <c r="C24" s="9" t="s">
        <v>176</v>
      </c>
      <c r="D24" s="6" t="s">
        <v>234</v>
      </c>
      <c r="E24" s="6" t="s">
        <v>237</v>
      </c>
      <c r="F24" s="6" t="s">
        <v>242</v>
      </c>
      <c r="G24" s="10">
        <v>6500</v>
      </c>
      <c r="H24" s="10">
        <v>1288</v>
      </c>
      <c r="I24" s="11">
        <v>0.19815384615384615</v>
      </c>
    </row>
    <row r="25" spans="1:9" x14ac:dyDescent="0.25">
      <c r="A25" s="7" t="s">
        <v>225</v>
      </c>
      <c r="B25" s="8">
        <v>45079</v>
      </c>
      <c r="C25" s="9" t="s">
        <v>178</v>
      </c>
      <c r="D25" s="6" t="s">
        <v>234</v>
      </c>
      <c r="E25" s="6" t="s">
        <v>237</v>
      </c>
      <c r="F25" s="6" t="s">
        <v>242</v>
      </c>
      <c r="G25" s="10">
        <v>7500</v>
      </c>
      <c r="H25" s="10">
        <v>1664</v>
      </c>
      <c r="I25" s="11">
        <v>0.22186666666666666</v>
      </c>
    </row>
    <row r="26" spans="1:9" x14ac:dyDescent="0.25">
      <c r="A26" s="7" t="s">
        <v>226</v>
      </c>
      <c r="B26" s="8">
        <v>45079</v>
      </c>
      <c r="C26" s="9" t="s">
        <v>184</v>
      </c>
      <c r="D26" s="6" t="s">
        <v>234</v>
      </c>
      <c r="E26" s="6" t="s">
        <v>237</v>
      </c>
      <c r="F26" s="6" t="s">
        <v>243</v>
      </c>
      <c r="G26" s="10">
        <v>5500</v>
      </c>
      <c r="H26" s="10">
        <v>1320</v>
      </c>
      <c r="I26" s="11">
        <v>0.24</v>
      </c>
    </row>
    <row r="27" spans="1:9" x14ac:dyDescent="0.25">
      <c r="A27" s="7" t="s">
        <v>227</v>
      </c>
      <c r="B27" s="8">
        <v>45079</v>
      </c>
      <c r="C27" s="9" t="s">
        <v>180</v>
      </c>
      <c r="D27" s="6" t="s">
        <v>234</v>
      </c>
      <c r="E27" s="6" t="s">
        <v>237</v>
      </c>
      <c r="F27" s="6" t="s">
        <v>243</v>
      </c>
      <c r="G27" s="10">
        <v>4625</v>
      </c>
      <c r="H27" s="10">
        <v>1001</v>
      </c>
      <c r="I27" s="11">
        <v>0.21643243243243243</v>
      </c>
    </row>
    <row r="28" spans="1:9" x14ac:dyDescent="0.25">
      <c r="A28" s="7" t="s">
        <v>228</v>
      </c>
      <c r="B28" s="8">
        <v>45079</v>
      </c>
      <c r="C28" s="9" t="s">
        <v>181</v>
      </c>
      <c r="D28" s="6" t="s">
        <v>234</v>
      </c>
      <c r="E28" s="6" t="s">
        <v>237</v>
      </c>
      <c r="F28" s="6" t="s">
        <v>243</v>
      </c>
      <c r="G28" s="10">
        <v>4500</v>
      </c>
      <c r="H28" s="10">
        <v>960</v>
      </c>
      <c r="I28" s="11">
        <v>0.21333333333333335</v>
      </c>
    </row>
    <row r="29" spans="1:9" x14ac:dyDescent="0.25">
      <c r="A29" s="7" t="s">
        <v>229</v>
      </c>
      <c r="B29" s="8">
        <v>45079</v>
      </c>
      <c r="C29" s="9" t="s">
        <v>186</v>
      </c>
      <c r="D29" s="6" t="s">
        <v>234</v>
      </c>
      <c r="E29" s="6" t="s">
        <v>237</v>
      </c>
      <c r="F29" s="6" t="s">
        <v>239</v>
      </c>
      <c r="G29" s="10">
        <v>5400</v>
      </c>
      <c r="H29" s="10">
        <v>540</v>
      </c>
      <c r="I29" s="11">
        <v>0.1</v>
      </c>
    </row>
    <row r="30" spans="1:9" x14ac:dyDescent="0.25">
      <c r="A30" s="7" t="s">
        <v>244</v>
      </c>
      <c r="B30" s="8">
        <v>45079</v>
      </c>
      <c r="C30" s="9" t="s">
        <v>186</v>
      </c>
      <c r="D30" s="6" t="s">
        <v>234</v>
      </c>
      <c r="E30" s="6" t="s">
        <v>238</v>
      </c>
      <c r="F30" s="6" t="s">
        <v>240</v>
      </c>
      <c r="G30" s="10">
        <v>5400</v>
      </c>
      <c r="H30" s="10">
        <v>540</v>
      </c>
      <c r="I30" s="11">
        <v>0.1</v>
      </c>
    </row>
    <row r="33" spans="7:7" x14ac:dyDescent="0.25">
      <c r="G33" s="5"/>
    </row>
    <row r="34" spans="7:7" x14ac:dyDescent="0.25">
      <c r="G34" s="1"/>
    </row>
    <row r="35" spans="7:7" x14ac:dyDescent="0.25">
      <c r="G35" s="1"/>
    </row>
    <row r="36" spans="7:7" x14ac:dyDescent="0.25">
      <c r="G36" s="1"/>
    </row>
    <row r="37" spans="7:7" x14ac:dyDescent="0.25">
      <c r="G37" s="1"/>
    </row>
    <row r="38" spans="7:7" x14ac:dyDescent="0.25">
      <c r="G38" s="1"/>
    </row>
    <row r="39" spans="7:7" x14ac:dyDescent="0.25">
      <c r="G39" s="1"/>
    </row>
    <row r="40" spans="7:7" x14ac:dyDescent="0.25">
      <c r="G40" s="1"/>
    </row>
    <row r="41" spans="7:7" x14ac:dyDescent="0.25">
      <c r="G41" s="1"/>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2"/>
  <sheetViews>
    <sheetView zoomScale="85" zoomScaleNormal="85" workbookViewId="0">
      <selection activeCell="I1" sqref="I1"/>
    </sheetView>
  </sheetViews>
  <sheetFormatPr defaultColWidth="11" defaultRowHeight="15.75" x14ac:dyDescent="0.25"/>
  <cols>
    <col min="1" max="1" width="3.5" customWidth="1"/>
    <col min="2" max="2" width="10.75" bestFit="1" customWidth="1"/>
    <col min="3" max="3" width="43.375" bestFit="1" customWidth="1"/>
    <col min="4" max="4" width="16.875" bestFit="1" customWidth="1"/>
    <col min="5" max="5" width="17.125" bestFit="1" customWidth="1"/>
    <col min="6" max="6" width="12.25" bestFit="1" customWidth="1"/>
    <col min="7" max="7" width="12" bestFit="1" customWidth="1"/>
    <col min="8" max="8" width="8.25" bestFit="1" customWidth="1"/>
    <col min="9" max="9" width="18.125" bestFit="1" customWidth="1"/>
  </cols>
  <sheetData>
    <row r="2" spans="2:9" ht="23.25" x14ac:dyDescent="0.35">
      <c r="B2" s="4" t="s">
        <v>0</v>
      </c>
      <c r="C2" s="4" t="s">
        <v>5</v>
      </c>
      <c r="D2" s="4" t="s">
        <v>1</v>
      </c>
      <c r="E2" s="4" t="s">
        <v>6</v>
      </c>
      <c r="F2" s="4" t="s">
        <v>47</v>
      </c>
      <c r="G2" s="4" t="s">
        <v>2</v>
      </c>
      <c r="H2" s="4" t="s">
        <v>3</v>
      </c>
      <c r="I2" s="4" t="s">
        <v>4</v>
      </c>
    </row>
    <row r="3" spans="2:9" x14ac:dyDescent="0.25">
      <c r="B3" s="3">
        <v>45076</v>
      </c>
      <c r="C3" t="s">
        <v>7</v>
      </c>
      <c r="D3" t="s">
        <v>40</v>
      </c>
      <c r="E3" t="s">
        <v>68</v>
      </c>
      <c r="F3" t="s">
        <v>51</v>
      </c>
      <c r="G3" s="1">
        <v>4500</v>
      </c>
      <c r="H3" s="1">
        <v>598</v>
      </c>
      <c r="I3" s="2">
        <f>H3/G3</f>
        <v>0.13288888888888889</v>
      </c>
    </row>
    <row r="4" spans="2:9" x14ac:dyDescent="0.25">
      <c r="B4" s="3">
        <v>45076</v>
      </c>
      <c r="C4" t="s">
        <v>8</v>
      </c>
      <c r="D4" t="s">
        <v>41</v>
      </c>
      <c r="E4" t="s">
        <v>69</v>
      </c>
      <c r="F4" t="s">
        <v>49</v>
      </c>
      <c r="G4" s="1">
        <v>3800</v>
      </c>
      <c r="H4" s="1">
        <v>1045</v>
      </c>
      <c r="I4" s="2">
        <f t="shared" ref="I4:I32" si="0">H4/G4</f>
        <v>0.27500000000000002</v>
      </c>
    </row>
    <row r="5" spans="2:9" x14ac:dyDescent="0.25">
      <c r="B5" s="3">
        <v>45076</v>
      </c>
      <c r="C5" t="s">
        <v>9</v>
      </c>
      <c r="D5" t="s">
        <v>42</v>
      </c>
      <c r="E5" t="s">
        <v>69</v>
      </c>
      <c r="G5" s="1">
        <v>3712.5</v>
      </c>
      <c r="H5" s="1">
        <v>1009</v>
      </c>
      <c r="I5" s="2">
        <f t="shared" si="0"/>
        <v>0.2717845117845118</v>
      </c>
    </row>
    <row r="6" spans="2:9" x14ac:dyDescent="0.25">
      <c r="B6" s="3">
        <v>45076</v>
      </c>
      <c r="C6" t="s">
        <v>10</v>
      </c>
      <c r="D6" t="s">
        <v>35</v>
      </c>
      <c r="E6" t="s">
        <v>70</v>
      </c>
      <c r="G6" s="1"/>
      <c r="H6" s="1">
        <v>779</v>
      </c>
      <c r="I6" s="2" t="e">
        <f t="shared" si="0"/>
        <v>#DIV/0!</v>
      </c>
    </row>
    <row r="7" spans="2:9" x14ac:dyDescent="0.25">
      <c r="B7" s="3">
        <v>45076</v>
      </c>
      <c r="C7" t="s">
        <v>11</v>
      </c>
      <c r="D7" t="s">
        <v>43</v>
      </c>
      <c r="E7" t="s">
        <v>70</v>
      </c>
      <c r="F7" t="s">
        <v>50</v>
      </c>
      <c r="G7" s="1">
        <v>5000</v>
      </c>
      <c r="H7" s="1">
        <v>684</v>
      </c>
      <c r="I7" s="2">
        <f t="shared" si="0"/>
        <v>0.1368</v>
      </c>
    </row>
    <row r="8" spans="2:9" x14ac:dyDescent="0.25">
      <c r="B8" s="3">
        <v>45077</v>
      </c>
      <c r="C8" t="s">
        <v>12</v>
      </c>
      <c r="D8" t="s">
        <v>44</v>
      </c>
      <c r="E8" t="s">
        <v>68</v>
      </c>
      <c r="F8" t="s">
        <v>51</v>
      </c>
      <c r="G8" s="1">
        <v>6100</v>
      </c>
      <c r="H8" s="1">
        <v>544</v>
      </c>
      <c r="I8" s="2">
        <f t="shared" si="0"/>
        <v>8.9180327868852466E-2</v>
      </c>
    </row>
    <row r="9" spans="2:9" x14ac:dyDescent="0.25">
      <c r="B9" s="3">
        <v>45077</v>
      </c>
      <c r="C9" t="s">
        <v>13</v>
      </c>
      <c r="D9" t="s">
        <v>45</v>
      </c>
      <c r="E9" t="s">
        <v>68</v>
      </c>
      <c r="F9" t="s">
        <v>51</v>
      </c>
      <c r="G9" s="1">
        <v>4625</v>
      </c>
      <c r="H9" s="1">
        <v>670</v>
      </c>
      <c r="I9" s="2">
        <f t="shared" si="0"/>
        <v>0.14486486486486486</v>
      </c>
    </row>
    <row r="10" spans="2:9" x14ac:dyDescent="0.25">
      <c r="B10" s="3">
        <v>45077</v>
      </c>
      <c r="C10" t="s">
        <v>14</v>
      </c>
      <c r="D10" t="s">
        <v>46</v>
      </c>
      <c r="E10" t="s">
        <v>68</v>
      </c>
      <c r="F10" t="s">
        <v>51</v>
      </c>
      <c r="G10" s="1">
        <v>3800</v>
      </c>
      <c r="H10" s="1">
        <v>2045</v>
      </c>
      <c r="I10" s="2">
        <f t="shared" si="0"/>
        <v>0.53815789473684206</v>
      </c>
    </row>
    <row r="11" spans="2:9" x14ac:dyDescent="0.25">
      <c r="B11" s="3">
        <v>45077</v>
      </c>
      <c r="C11" t="s">
        <v>15</v>
      </c>
      <c r="D11" t="s">
        <v>36</v>
      </c>
      <c r="E11" t="s">
        <v>68</v>
      </c>
      <c r="F11" t="s">
        <v>48</v>
      </c>
      <c r="G11" s="1">
        <v>3600</v>
      </c>
      <c r="H11" s="1">
        <v>1564</v>
      </c>
      <c r="I11" s="2">
        <f t="shared" si="0"/>
        <v>0.43444444444444447</v>
      </c>
    </row>
    <row r="12" spans="2:9" x14ac:dyDescent="0.25">
      <c r="B12" s="3">
        <v>45077</v>
      </c>
      <c r="C12" t="s">
        <v>16</v>
      </c>
      <c r="D12" t="s">
        <v>37</v>
      </c>
      <c r="E12" t="s">
        <v>68</v>
      </c>
      <c r="F12" t="s">
        <v>50</v>
      </c>
      <c r="G12" s="1">
        <v>5100</v>
      </c>
      <c r="H12" s="1">
        <v>1220</v>
      </c>
      <c r="I12" s="2">
        <f t="shared" si="0"/>
        <v>0.23921568627450981</v>
      </c>
    </row>
    <row r="13" spans="2:9" x14ac:dyDescent="0.25">
      <c r="B13" s="3">
        <v>45077</v>
      </c>
      <c r="C13" t="s">
        <v>17</v>
      </c>
      <c r="D13" t="s">
        <v>52</v>
      </c>
      <c r="E13" t="s">
        <v>68</v>
      </c>
      <c r="F13" t="s">
        <v>50</v>
      </c>
      <c r="G13" s="1">
        <v>4750</v>
      </c>
      <c r="H13" s="1">
        <v>1435</v>
      </c>
      <c r="I13" s="2">
        <f t="shared" si="0"/>
        <v>0.30210526315789471</v>
      </c>
    </row>
    <row r="14" spans="2:9" x14ac:dyDescent="0.25">
      <c r="B14" s="3">
        <v>45077</v>
      </c>
      <c r="C14" t="s">
        <v>18</v>
      </c>
      <c r="D14" t="s">
        <v>53</v>
      </c>
      <c r="E14" t="s">
        <v>70</v>
      </c>
      <c r="F14" t="s">
        <v>51</v>
      </c>
      <c r="G14" s="1">
        <v>6000</v>
      </c>
      <c r="H14" s="1">
        <v>998</v>
      </c>
      <c r="I14" s="2">
        <f t="shared" si="0"/>
        <v>0.16633333333333333</v>
      </c>
    </row>
    <row r="15" spans="2:9" x14ac:dyDescent="0.25">
      <c r="B15" s="3">
        <v>45077</v>
      </c>
      <c r="C15" t="s">
        <v>19</v>
      </c>
      <c r="D15" t="s">
        <v>54</v>
      </c>
      <c r="E15" t="s">
        <v>71</v>
      </c>
      <c r="F15" t="s">
        <v>50</v>
      </c>
      <c r="G15" s="1">
        <v>4500</v>
      </c>
      <c r="H15" s="1">
        <v>780</v>
      </c>
      <c r="I15" s="2">
        <f t="shared" si="0"/>
        <v>0.17333333333333334</v>
      </c>
    </row>
    <row r="16" spans="2:9" x14ac:dyDescent="0.25">
      <c r="B16" s="3">
        <v>45078</v>
      </c>
      <c r="C16" t="s">
        <v>20</v>
      </c>
      <c r="D16" t="s">
        <v>38</v>
      </c>
      <c r="E16" t="s">
        <v>71</v>
      </c>
      <c r="F16" t="s">
        <v>48</v>
      </c>
      <c r="G16" s="1"/>
      <c r="H16" s="1">
        <v>1044</v>
      </c>
      <c r="I16" s="2" t="e">
        <f t="shared" si="0"/>
        <v>#DIV/0!</v>
      </c>
    </row>
    <row r="17" spans="2:9" x14ac:dyDescent="0.25">
      <c r="B17" s="3">
        <v>45078</v>
      </c>
      <c r="C17" t="s">
        <v>21</v>
      </c>
      <c r="D17" t="s">
        <v>55</v>
      </c>
      <c r="E17" t="s">
        <v>71</v>
      </c>
      <c r="F17" t="s">
        <v>51</v>
      </c>
      <c r="G17" s="1">
        <v>3712.5</v>
      </c>
      <c r="H17" s="1">
        <v>1222</v>
      </c>
      <c r="I17" s="2">
        <f t="shared" si="0"/>
        <v>0.32915824915824915</v>
      </c>
    </row>
    <row r="18" spans="2:9" x14ac:dyDescent="0.25">
      <c r="B18" s="3">
        <v>45078</v>
      </c>
      <c r="C18" t="s">
        <v>22</v>
      </c>
      <c r="D18" t="s">
        <v>56</v>
      </c>
      <c r="E18" t="s">
        <v>71</v>
      </c>
      <c r="F18" t="s">
        <v>51</v>
      </c>
      <c r="G18" s="1">
        <v>4950</v>
      </c>
      <c r="H18" s="1">
        <v>1065</v>
      </c>
      <c r="I18" s="2">
        <f t="shared" si="0"/>
        <v>0.21515151515151515</v>
      </c>
    </row>
    <row r="19" spans="2:9" x14ac:dyDescent="0.25">
      <c r="B19" s="3">
        <v>45078</v>
      </c>
      <c r="C19" t="s">
        <v>23</v>
      </c>
      <c r="D19" t="s">
        <v>57</v>
      </c>
      <c r="E19" t="s">
        <v>70</v>
      </c>
      <c r="F19" t="s">
        <v>51</v>
      </c>
      <c r="G19" s="1">
        <v>4750</v>
      </c>
      <c r="H19" s="1">
        <v>810</v>
      </c>
      <c r="I19" s="2">
        <f t="shared" si="0"/>
        <v>0.17052631578947369</v>
      </c>
    </row>
    <row r="20" spans="2:9" x14ac:dyDescent="0.25">
      <c r="B20" s="3">
        <v>45078</v>
      </c>
      <c r="C20" t="s">
        <v>24</v>
      </c>
      <c r="D20" t="s">
        <v>58</v>
      </c>
      <c r="E20" t="s">
        <v>70</v>
      </c>
      <c r="F20" t="s">
        <v>51</v>
      </c>
      <c r="G20" s="1">
        <v>7320</v>
      </c>
      <c r="H20" s="1">
        <v>933</v>
      </c>
      <c r="I20" s="2">
        <f t="shared" si="0"/>
        <v>0.12745901639344262</v>
      </c>
    </row>
    <row r="21" spans="2:9" x14ac:dyDescent="0.25">
      <c r="B21" s="3">
        <v>45077</v>
      </c>
      <c r="C21" t="s">
        <v>18</v>
      </c>
      <c r="D21" t="s">
        <v>53</v>
      </c>
      <c r="E21" t="s">
        <v>70</v>
      </c>
      <c r="F21" t="s">
        <v>51</v>
      </c>
      <c r="G21" s="1">
        <v>6000</v>
      </c>
      <c r="H21" s="1">
        <v>998</v>
      </c>
      <c r="I21" s="2">
        <f t="shared" ref="I21:I22" si="1">H21/G21</f>
        <v>0.16633333333333333</v>
      </c>
    </row>
    <row r="22" spans="2:9" x14ac:dyDescent="0.25">
      <c r="B22" s="3">
        <v>45077</v>
      </c>
      <c r="C22" t="s">
        <v>19</v>
      </c>
      <c r="D22" t="s">
        <v>54</v>
      </c>
      <c r="E22" t="s">
        <v>71</v>
      </c>
      <c r="F22" t="s">
        <v>50</v>
      </c>
      <c r="G22" s="1">
        <v>4500</v>
      </c>
      <c r="H22" s="1">
        <v>780</v>
      </c>
      <c r="I22" s="2">
        <f t="shared" si="1"/>
        <v>0.17333333333333334</v>
      </c>
    </row>
    <row r="23" spans="2:9" x14ac:dyDescent="0.25">
      <c r="B23" s="3">
        <v>45078</v>
      </c>
      <c r="C23" t="s">
        <v>25</v>
      </c>
      <c r="D23" t="s">
        <v>59</v>
      </c>
      <c r="E23" t="s">
        <v>71</v>
      </c>
      <c r="F23" t="s">
        <v>51</v>
      </c>
      <c r="G23" s="1">
        <v>5087.5</v>
      </c>
      <c r="H23" s="1">
        <v>655</v>
      </c>
      <c r="I23" s="2">
        <f t="shared" si="0"/>
        <v>0.12874692874692875</v>
      </c>
    </row>
    <row r="24" spans="2:9" x14ac:dyDescent="0.25">
      <c r="B24" s="3">
        <v>45078</v>
      </c>
      <c r="C24" t="s">
        <v>26</v>
      </c>
      <c r="D24" t="s">
        <v>60</v>
      </c>
      <c r="E24" t="s">
        <v>71</v>
      </c>
      <c r="F24" t="s">
        <v>51</v>
      </c>
      <c r="G24" s="1">
        <v>4500</v>
      </c>
      <c r="H24" s="1">
        <v>722</v>
      </c>
      <c r="I24" s="2">
        <f t="shared" si="0"/>
        <v>0.16044444444444445</v>
      </c>
    </row>
    <row r="25" spans="2:9" x14ac:dyDescent="0.25">
      <c r="B25" s="3">
        <v>45078</v>
      </c>
      <c r="C25" t="s">
        <v>27</v>
      </c>
      <c r="D25" t="s">
        <v>61</v>
      </c>
      <c r="E25" t="s">
        <v>71</v>
      </c>
      <c r="F25" t="s">
        <v>48</v>
      </c>
      <c r="G25" s="1">
        <v>4250</v>
      </c>
      <c r="H25" s="1">
        <v>901</v>
      </c>
      <c r="I25" s="2">
        <f t="shared" si="0"/>
        <v>0.21199999999999999</v>
      </c>
    </row>
    <row r="26" spans="2:9" x14ac:dyDescent="0.25">
      <c r="B26" s="3">
        <v>45079</v>
      </c>
      <c r="C26" t="s">
        <v>28</v>
      </c>
      <c r="D26" t="s">
        <v>62</v>
      </c>
      <c r="E26" t="s">
        <v>71</v>
      </c>
      <c r="F26" t="s">
        <v>49</v>
      </c>
      <c r="G26" s="1">
        <v>5250</v>
      </c>
      <c r="H26" s="1">
        <v>1349</v>
      </c>
      <c r="I26" s="2">
        <f t="shared" si="0"/>
        <v>0.25695238095238093</v>
      </c>
    </row>
    <row r="27" spans="2:9" x14ac:dyDescent="0.25">
      <c r="B27" s="3">
        <v>45079</v>
      </c>
      <c r="C27" t="s">
        <v>29</v>
      </c>
      <c r="D27" t="s">
        <v>63</v>
      </c>
      <c r="E27" t="s">
        <v>69</v>
      </c>
      <c r="F27" t="s">
        <v>49</v>
      </c>
      <c r="G27" s="1">
        <v>6500</v>
      </c>
      <c r="H27" s="1">
        <v>1288</v>
      </c>
      <c r="I27" s="2">
        <f t="shared" si="0"/>
        <v>0.19815384615384615</v>
      </c>
    </row>
    <row r="28" spans="2:9" x14ac:dyDescent="0.25">
      <c r="B28" s="3">
        <v>45079</v>
      </c>
      <c r="C28" t="s">
        <v>30</v>
      </c>
      <c r="D28" t="s">
        <v>64</v>
      </c>
      <c r="E28" t="s">
        <v>69</v>
      </c>
      <c r="F28" t="s">
        <v>49</v>
      </c>
      <c r="G28" s="1">
        <v>7500</v>
      </c>
      <c r="H28" s="1">
        <v>1664</v>
      </c>
      <c r="I28" s="2">
        <f t="shared" si="0"/>
        <v>0.22186666666666666</v>
      </c>
    </row>
    <row r="29" spans="2:9" x14ac:dyDescent="0.25">
      <c r="B29" s="3">
        <v>45079</v>
      </c>
      <c r="C29" t="s">
        <v>31</v>
      </c>
      <c r="D29" t="s">
        <v>65</v>
      </c>
      <c r="E29" t="s">
        <v>69</v>
      </c>
      <c r="F29" t="s">
        <v>51</v>
      </c>
      <c r="G29" s="1">
        <v>5500</v>
      </c>
      <c r="H29" s="1">
        <v>1320</v>
      </c>
      <c r="I29" s="2">
        <f t="shared" si="0"/>
        <v>0.24</v>
      </c>
    </row>
    <row r="30" spans="2:9" x14ac:dyDescent="0.25">
      <c r="B30" s="3">
        <v>45079</v>
      </c>
      <c r="C30" t="s">
        <v>32</v>
      </c>
      <c r="D30" t="s">
        <v>66</v>
      </c>
      <c r="E30" t="s">
        <v>69</v>
      </c>
      <c r="F30" t="s">
        <v>51</v>
      </c>
      <c r="G30" s="1">
        <v>4625</v>
      </c>
      <c r="H30" s="1">
        <v>1001</v>
      </c>
      <c r="I30" s="2">
        <f t="shared" si="0"/>
        <v>0.21643243243243243</v>
      </c>
    </row>
    <row r="31" spans="2:9" x14ac:dyDescent="0.25">
      <c r="B31" s="3">
        <v>45079</v>
      </c>
      <c r="C31" t="s">
        <v>33</v>
      </c>
      <c r="D31" t="s">
        <v>67</v>
      </c>
      <c r="E31" t="s">
        <v>69</v>
      </c>
      <c r="F31" t="s">
        <v>51</v>
      </c>
      <c r="G31" s="1">
        <v>4500</v>
      </c>
      <c r="H31" s="1">
        <v>960</v>
      </c>
      <c r="I31" s="2">
        <f t="shared" si="0"/>
        <v>0.21333333333333335</v>
      </c>
    </row>
    <row r="32" spans="2:9" x14ac:dyDescent="0.25">
      <c r="B32" s="3">
        <v>45079</v>
      </c>
      <c r="C32" t="s">
        <v>34</v>
      </c>
      <c r="D32" t="s">
        <v>39</v>
      </c>
      <c r="E32" t="s">
        <v>69</v>
      </c>
      <c r="F32" t="s">
        <v>48</v>
      </c>
      <c r="G32" s="1">
        <v>5400</v>
      </c>
      <c r="H32" s="1">
        <v>540</v>
      </c>
      <c r="I32" s="2">
        <f t="shared" si="0"/>
        <v>0.1</v>
      </c>
    </row>
    <row r="33" spans="2:9" x14ac:dyDescent="0.25">
      <c r="B33" s="3">
        <v>45076</v>
      </c>
      <c r="C33" t="s">
        <v>11</v>
      </c>
      <c r="D33" t="s">
        <v>43</v>
      </c>
      <c r="E33" t="s">
        <v>70</v>
      </c>
      <c r="F33" t="s">
        <v>50</v>
      </c>
      <c r="G33" s="1">
        <v>5000</v>
      </c>
      <c r="H33" s="1">
        <v>684</v>
      </c>
      <c r="I33" s="2">
        <f t="shared" ref="I33" si="2">H33/G33</f>
        <v>0.1368</v>
      </c>
    </row>
    <row r="34" spans="2:9" x14ac:dyDescent="0.25">
      <c r="G34" s="1"/>
    </row>
    <row r="35" spans="2:9" x14ac:dyDescent="0.25">
      <c r="G35" s="1"/>
    </row>
    <row r="36" spans="2:9" x14ac:dyDescent="0.25">
      <c r="G36" s="1"/>
    </row>
    <row r="37" spans="2:9" x14ac:dyDescent="0.25">
      <c r="G37" s="1"/>
    </row>
    <row r="38" spans="2:9" x14ac:dyDescent="0.25">
      <c r="G38" s="1"/>
    </row>
    <row r="39" spans="2:9" x14ac:dyDescent="0.25">
      <c r="G39" s="1"/>
    </row>
    <row r="40" spans="2:9" x14ac:dyDescent="0.25">
      <c r="G40" s="1"/>
    </row>
    <row r="41" spans="2:9" x14ac:dyDescent="0.25">
      <c r="G41" s="1"/>
    </row>
    <row r="42" spans="2:9" x14ac:dyDescent="0.25">
      <c r="G42"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1" sqref="B1:L4"/>
    </sheetView>
  </sheetViews>
  <sheetFormatPr defaultRowHeight="15.75" x14ac:dyDescent="0.25"/>
  <cols>
    <col min="1" max="1" width="19.125" customWidth="1"/>
    <col min="3" max="3" width="11" bestFit="1" customWidth="1"/>
    <col min="5" max="5" width="11" bestFit="1" customWidth="1"/>
    <col min="8" max="8" width="10" bestFit="1" customWidth="1"/>
  </cols>
  <sheetData>
    <row r="1" spans="1:12" ht="15.75" customHeight="1" x14ac:dyDescent="0.25">
      <c r="A1" s="19"/>
      <c r="B1" s="25" t="str">
        <f>UPPER("Sales Dashboard For Company A")</f>
        <v>SALES DASHBOARD FOR COMPANY A</v>
      </c>
      <c r="C1" s="25"/>
      <c r="D1" s="25"/>
      <c r="E1" s="25"/>
      <c r="F1" s="25"/>
      <c r="G1" s="25"/>
      <c r="H1" s="25"/>
      <c r="I1" s="25"/>
      <c r="J1" s="25"/>
      <c r="K1" s="25"/>
      <c r="L1" s="25"/>
    </row>
    <row r="2" spans="1:12" ht="15.75" customHeight="1" x14ac:dyDescent="0.25">
      <c r="A2" s="19"/>
      <c r="B2" s="25"/>
      <c r="C2" s="25"/>
      <c r="D2" s="25"/>
      <c r="E2" s="25"/>
      <c r="F2" s="25"/>
      <c r="G2" s="25"/>
      <c r="H2" s="25"/>
      <c r="I2" s="25"/>
      <c r="J2" s="25"/>
      <c r="K2" s="25"/>
      <c r="L2" s="25"/>
    </row>
    <row r="3" spans="1:12" ht="15.75" customHeight="1" x14ac:dyDescent="0.25">
      <c r="A3" s="19"/>
      <c r="B3" s="25"/>
      <c r="C3" s="25"/>
      <c r="D3" s="25"/>
      <c r="E3" s="25"/>
      <c r="F3" s="25"/>
      <c r="G3" s="25"/>
      <c r="H3" s="25"/>
      <c r="I3" s="25"/>
      <c r="J3" s="25"/>
      <c r="K3" s="25"/>
      <c r="L3" s="25"/>
    </row>
    <row r="4" spans="1:12" ht="62.25" customHeight="1" x14ac:dyDescent="0.25">
      <c r="A4" s="19"/>
      <c r="B4" s="25"/>
      <c r="C4" s="25"/>
      <c r="D4" s="25"/>
      <c r="E4" s="25"/>
      <c r="F4" s="25"/>
      <c r="G4" s="25"/>
      <c r="H4" s="25"/>
      <c r="I4" s="25"/>
      <c r="J4" s="25"/>
      <c r="K4" s="25"/>
      <c r="L4" s="25"/>
    </row>
    <row r="5" spans="1:12" x14ac:dyDescent="0.25">
      <c r="A5" s="19"/>
      <c r="B5" s="20"/>
      <c r="C5" s="21">
        <f>GETPIVOTDATA("[Measures].[Sum of Revenue]",Analysis!$A$3)</f>
        <v>28064.224137931036</v>
      </c>
      <c r="D5" s="20"/>
      <c r="E5" s="20"/>
      <c r="F5" s="20"/>
      <c r="G5" s="20"/>
      <c r="H5" s="20"/>
      <c r="I5" s="20"/>
      <c r="J5" s="20"/>
      <c r="K5" s="20"/>
      <c r="L5" s="20"/>
    </row>
    <row r="6" spans="1:12" x14ac:dyDescent="0.25">
      <c r="A6" s="19"/>
      <c r="B6" s="20"/>
      <c r="C6" s="20"/>
      <c r="D6" s="20"/>
      <c r="E6" s="22">
        <f>GETPIVOTDATA("[Measures].[Sum of Profit]",Analysis!$C$3)</f>
        <v>4204</v>
      </c>
      <c r="F6" s="20"/>
      <c r="G6" s="20"/>
      <c r="H6" s="22">
        <f>GETPIVOTDATA("[Measures].[Average of Profit]",Analysis!$E$3)</f>
        <v>840.8</v>
      </c>
      <c r="I6" s="20"/>
      <c r="J6" s="20"/>
      <c r="K6" s="23">
        <f>GETPIVOTDATA("[Measures].[Average of Profit Margin]",Analysis!$G$3)</f>
        <v>0.2123915634781266</v>
      </c>
      <c r="L6" s="20"/>
    </row>
    <row r="7" spans="1:12" x14ac:dyDescent="0.25">
      <c r="A7" s="19"/>
      <c r="B7" s="20"/>
      <c r="C7" s="20"/>
      <c r="D7" s="20"/>
      <c r="E7" s="20"/>
      <c r="F7" s="20"/>
      <c r="G7" s="20"/>
      <c r="H7" s="20"/>
      <c r="I7" s="20"/>
      <c r="J7" s="20"/>
      <c r="K7" s="20"/>
      <c r="L7" s="20"/>
    </row>
    <row r="8" spans="1:12" x14ac:dyDescent="0.25">
      <c r="A8" s="19"/>
      <c r="B8" s="20"/>
      <c r="C8" s="20"/>
      <c r="D8" s="20"/>
      <c r="E8" s="20"/>
      <c r="F8" s="20"/>
      <c r="G8" s="20"/>
      <c r="H8" s="20"/>
      <c r="I8" s="20"/>
      <c r="J8" s="20"/>
      <c r="K8" s="20"/>
      <c r="L8" s="20"/>
    </row>
    <row r="9" spans="1:12" x14ac:dyDescent="0.25">
      <c r="A9" s="19"/>
      <c r="B9" s="20"/>
      <c r="C9" s="20"/>
      <c r="D9" s="24"/>
      <c r="E9" s="20"/>
      <c r="F9" s="20"/>
      <c r="G9" s="20"/>
      <c r="H9" s="20"/>
      <c r="I9" s="20"/>
      <c r="J9" s="20"/>
      <c r="K9" s="20"/>
      <c r="L9" s="20"/>
    </row>
    <row r="10" spans="1:12" x14ac:dyDescent="0.25">
      <c r="A10" s="19"/>
      <c r="B10" s="20"/>
      <c r="C10" s="20"/>
      <c r="D10" s="20"/>
      <c r="E10" s="20"/>
      <c r="F10" s="20"/>
      <c r="G10" s="20"/>
      <c r="H10" s="20"/>
      <c r="I10" s="20"/>
      <c r="J10" s="20"/>
      <c r="K10" s="20"/>
      <c r="L10" s="20"/>
    </row>
    <row r="11" spans="1:12" x14ac:dyDescent="0.25">
      <c r="A11" s="19"/>
      <c r="B11" s="20"/>
      <c r="C11" s="20"/>
      <c r="D11" s="20"/>
      <c r="E11" s="20"/>
      <c r="F11" s="20"/>
      <c r="G11" s="20"/>
      <c r="H11" s="20"/>
      <c r="I11" s="20"/>
      <c r="J11" s="20"/>
      <c r="K11" s="20"/>
      <c r="L11" s="20"/>
    </row>
    <row r="12" spans="1:12" x14ac:dyDescent="0.25">
      <c r="A12" s="19"/>
      <c r="B12" s="20"/>
      <c r="C12" s="20"/>
      <c r="D12" s="20"/>
      <c r="E12" s="20"/>
      <c r="F12" s="20"/>
      <c r="G12" s="20"/>
      <c r="H12" s="20"/>
      <c r="I12" s="20"/>
      <c r="J12" s="20"/>
      <c r="K12" s="20"/>
      <c r="L12" s="20"/>
    </row>
    <row r="13" spans="1:12" x14ac:dyDescent="0.25">
      <c r="A13" s="19"/>
      <c r="B13" s="20"/>
      <c r="C13" s="20"/>
      <c r="D13" s="20"/>
      <c r="E13" s="20"/>
      <c r="F13" s="20"/>
      <c r="G13" s="20"/>
      <c r="H13" s="20"/>
      <c r="I13" s="20"/>
      <c r="J13" s="20"/>
      <c r="K13" s="20"/>
      <c r="L13" s="20"/>
    </row>
    <row r="14" spans="1:12" x14ac:dyDescent="0.25">
      <c r="A14" s="19"/>
      <c r="B14" s="20"/>
      <c r="C14" s="20"/>
      <c r="D14" s="20"/>
      <c r="E14" s="20"/>
      <c r="F14" s="20"/>
      <c r="G14" s="20"/>
      <c r="H14" s="20"/>
      <c r="I14" s="20"/>
      <c r="J14" s="20"/>
      <c r="K14" s="20"/>
      <c r="L14" s="20"/>
    </row>
    <row r="15" spans="1:12" x14ac:dyDescent="0.25">
      <c r="A15" s="19"/>
      <c r="B15" s="20"/>
      <c r="C15" s="20"/>
      <c r="D15" s="20"/>
      <c r="E15" s="20"/>
      <c r="F15" s="20"/>
      <c r="G15" s="20"/>
      <c r="H15" s="20"/>
      <c r="I15" s="20"/>
      <c r="J15" s="20"/>
      <c r="K15" s="20"/>
      <c r="L15" s="20"/>
    </row>
    <row r="16" spans="1:12" x14ac:dyDescent="0.25">
      <c r="A16" s="19"/>
      <c r="B16" s="20"/>
      <c r="C16" s="20"/>
      <c r="D16" s="20"/>
      <c r="E16" s="20"/>
      <c r="F16" s="20"/>
      <c r="G16" s="20"/>
      <c r="H16" s="20"/>
      <c r="I16" s="20"/>
      <c r="J16" s="20"/>
      <c r="K16" s="20"/>
      <c r="L16" s="20"/>
    </row>
    <row r="17" spans="1:12" x14ac:dyDescent="0.25">
      <c r="A17" s="19"/>
      <c r="B17" s="20"/>
      <c r="C17" s="20"/>
      <c r="D17" s="20"/>
      <c r="E17" s="20"/>
      <c r="F17" s="20"/>
      <c r="G17" s="20"/>
      <c r="H17" s="20"/>
      <c r="I17" s="20"/>
      <c r="J17" s="20"/>
      <c r="K17" s="20"/>
      <c r="L17" s="20"/>
    </row>
    <row r="18" spans="1:12" x14ac:dyDescent="0.25">
      <c r="A18" s="19"/>
      <c r="B18" s="20"/>
      <c r="C18" s="20"/>
      <c r="D18" s="20"/>
      <c r="E18" s="20"/>
      <c r="F18" s="20"/>
      <c r="G18" s="20"/>
      <c r="H18" s="20"/>
      <c r="I18" s="20"/>
      <c r="J18" s="20"/>
      <c r="K18" s="20"/>
      <c r="L18" s="20"/>
    </row>
    <row r="19" spans="1:12" x14ac:dyDescent="0.25">
      <c r="A19" s="19"/>
      <c r="B19" s="20"/>
      <c r="C19" s="20"/>
      <c r="D19" s="20"/>
      <c r="E19" s="20"/>
      <c r="F19" s="20"/>
      <c r="G19" s="20"/>
      <c r="H19" s="20"/>
      <c r="I19" s="20"/>
      <c r="J19" s="20"/>
      <c r="K19" s="20"/>
      <c r="L19" s="20"/>
    </row>
    <row r="20" spans="1:12" x14ac:dyDescent="0.25">
      <c r="A20" s="19"/>
      <c r="B20" s="20"/>
      <c r="C20" s="20"/>
      <c r="D20" s="20"/>
      <c r="E20" s="20"/>
      <c r="F20" s="20"/>
      <c r="G20" s="20"/>
      <c r="H20" s="20"/>
      <c r="I20" s="20"/>
      <c r="J20" s="20"/>
      <c r="K20" s="20"/>
      <c r="L20" s="20"/>
    </row>
    <row r="21" spans="1:12" x14ac:dyDescent="0.25">
      <c r="A21" s="19"/>
      <c r="B21" s="20"/>
      <c r="C21" s="20"/>
      <c r="D21" s="20"/>
      <c r="E21" s="20"/>
      <c r="F21" s="20"/>
      <c r="G21" s="20"/>
      <c r="H21" s="20"/>
      <c r="I21" s="20"/>
      <c r="J21" s="20"/>
      <c r="K21" s="20"/>
      <c r="L21" s="20"/>
    </row>
    <row r="22" spans="1:12" x14ac:dyDescent="0.25">
      <c r="A22" s="19"/>
      <c r="B22" s="20"/>
      <c r="C22" s="20"/>
      <c r="D22" s="20"/>
      <c r="E22" s="20"/>
      <c r="F22" s="20"/>
      <c r="G22" s="20"/>
      <c r="H22" s="20"/>
      <c r="I22" s="20"/>
      <c r="J22" s="20"/>
      <c r="K22" s="20"/>
      <c r="L22" s="20"/>
    </row>
    <row r="23" spans="1:12" x14ac:dyDescent="0.25">
      <c r="A23" s="19"/>
      <c r="B23" s="20"/>
      <c r="C23" s="20"/>
      <c r="D23" s="20"/>
      <c r="E23" s="20"/>
      <c r="F23" s="20"/>
      <c r="G23" s="20"/>
      <c r="H23" s="20"/>
      <c r="I23" s="20"/>
      <c r="J23" s="20"/>
      <c r="K23" s="20"/>
      <c r="L23" s="20"/>
    </row>
    <row r="24" spans="1:12" x14ac:dyDescent="0.25">
      <c r="A24" s="19"/>
      <c r="B24" s="20"/>
      <c r="C24" s="20"/>
      <c r="D24" s="20"/>
      <c r="E24" s="20"/>
      <c r="F24" s="20"/>
      <c r="G24" s="20"/>
      <c r="H24" s="20"/>
      <c r="I24" s="20"/>
      <c r="J24" s="20"/>
      <c r="K24" s="20"/>
      <c r="L24" s="20"/>
    </row>
    <row r="25" spans="1:12" x14ac:dyDescent="0.25">
      <c r="A25" s="19"/>
      <c r="B25" s="20"/>
      <c r="C25" s="20"/>
      <c r="D25" s="20"/>
      <c r="E25" s="20"/>
      <c r="F25" s="20"/>
      <c r="G25" s="20"/>
      <c r="H25" s="20"/>
      <c r="I25" s="20"/>
      <c r="J25" s="20"/>
      <c r="K25" s="20"/>
      <c r="L25" s="20"/>
    </row>
    <row r="26" spans="1:12" x14ac:dyDescent="0.25">
      <c r="A26" s="19"/>
      <c r="B26" s="20"/>
      <c r="C26" s="20"/>
      <c r="D26" s="20"/>
      <c r="E26" s="20"/>
      <c r="F26" s="20"/>
      <c r="G26" s="20"/>
      <c r="H26" s="20"/>
      <c r="I26" s="20"/>
      <c r="J26" s="20"/>
      <c r="K26" s="20"/>
      <c r="L26" s="20"/>
    </row>
    <row r="27" spans="1:12" x14ac:dyDescent="0.25">
      <c r="A27" s="19"/>
      <c r="B27" s="20"/>
      <c r="C27" s="20"/>
      <c r="D27" s="20"/>
      <c r="E27" s="20"/>
      <c r="F27" s="20"/>
      <c r="G27" s="20"/>
      <c r="H27" s="20"/>
      <c r="I27" s="20"/>
      <c r="J27" s="20"/>
      <c r="K27" s="20"/>
      <c r="L27" s="20"/>
    </row>
    <row r="28" spans="1:12" x14ac:dyDescent="0.25">
      <c r="A28" s="19"/>
      <c r="B28" s="20"/>
      <c r="C28" s="20"/>
      <c r="D28" s="20"/>
      <c r="E28" s="20"/>
      <c r="F28" s="20"/>
      <c r="G28" s="20"/>
      <c r="H28" s="20"/>
      <c r="I28" s="20"/>
      <c r="J28" s="20"/>
      <c r="K28" s="20"/>
      <c r="L28" s="20"/>
    </row>
    <row r="29" spans="1:12" x14ac:dyDescent="0.25">
      <c r="A29" s="19"/>
      <c r="B29" s="20"/>
      <c r="C29" s="20"/>
      <c r="D29" s="20"/>
      <c r="E29" s="20"/>
      <c r="F29" s="20"/>
      <c r="G29" s="20"/>
      <c r="H29" s="20"/>
      <c r="I29" s="20"/>
      <c r="J29" s="20"/>
      <c r="K29" s="20"/>
      <c r="L29" s="20"/>
    </row>
    <row r="30" spans="1:12" x14ac:dyDescent="0.25">
      <c r="A30" s="19"/>
      <c r="B30" s="20"/>
      <c r="C30" s="20"/>
      <c r="D30" s="20"/>
      <c r="E30" s="20"/>
      <c r="F30" s="20"/>
      <c r="G30" s="20"/>
      <c r="H30" s="20"/>
      <c r="I30" s="20"/>
      <c r="J30" s="20"/>
      <c r="K30" s="20"/>
      <c r="L30" s="20"/>
    </row>
    <row r="31" spans="1:12" x14ac:dyDescent="0.25">
      <c r="A31" s="19"/>
      <c r="B31" s="20"/>
      <c r="C31" s="20"/>
      <c r="D31" s="20"/>
      <c r="E31" s="20"/>
      <c r="F31" s="20"/>
      <c r="G31" s="20"/>
      <c r="H31" s="20"/>
      <c r="I31" s="20"/>
      <c r="J31" s="20"/>
      <c r="K31" s="20"/>
      <c r="L31" s="20"/>
    </row>
    <row r="32" spans="1:12" x14ac:dyDescent="0.25">
      <c r="A32" s="19"/>
      <c r="B32" s="20"/>
      <c r="C32" s="20"/>
      <c r="D32" s="20"/>
      <c r="E32" s="20"/>
      <c r="F32" s="20"/>
      <c r="G32" s="20"/>
      <c r="H32" s="20"/>
      <c r="I32" s="20"/>
      <c r="J32" s="20"/>
      <c r="K32" s="20"/>
      <c r="L32" s="20"/>
    </row>
    <row r="33" spans="1:12" x14ac:dyDescent="0.25">
      <c r="A33" s="19"/>
      <c r="B33" s="20"/>
      <c r="C33" s="20"/>
      <c r="D33" s="20"/>
      <c r="E33" s="20"/>
      <c r="F33" s="20"/>
      <c r="G33" s="20"/>
      <c r="H33" s="20"/>
      <c r="I33" s="20"/>
      <c r="J33" s="20"/>
      <c r="K33" s="20"/>
      <c r="L33" s="20"/>
    </row>
    <row r="34" spans="1:12" x14ac:dyDescent="0.25">
      <c r="A34" s="19"/>
      <c r="B34" s="20"/>
      <c r="C34" s="20"/>
      <c r="D34" s="20"/>
      <c r="E34" s="20"/>
      <c r="F34" s="20"/>
      <c r="G34" s="20"/>
      <c r="H34" s="20"/>
      <c r="I34" s="20"/>
      <c r="J34" s="20"/>
      <c r="K34" s="20"/>
      <c r="L34" s="20"/>
    </row>
    <row r="35" spans="1:12" x14ac:dyDescent="0.25">
      <c r="A35" s="19"/>
      <c r="B35" s="20"/>
      <c r="C35" s="20"/>
      <c r="D35" s="20"/>
      <c r="E35" s="20"/>
      <c r="F35" s="20"/>
      <c r="G35" s="20"/>
      <c r="H35" s="20"/>
      <c r="I35" s="20"/>
      <c r="J35" s="20"/>
      <c r="K35" s="20"/>
      <c r="L35" s="20"/>
    </row>
    <row r="36" spans="1:12" x14ac:dyDescent="0.25">
      <c r="A36" s="19"/>
      <c r="B36" s="20"/>
      <c r="C36" s="20"/>
      <c r="D36" s="20"/>
      <c r="E36" s="20"/>
      <c r="F36" s="20"/>
      <c r="G36" s="20"/>
      <c r="H36" s="20"/>
      <c r="I36" s="20"/>
      <c r="J36" s="20"/>
      <c r="K36" s="20"/>
      <c r="L36" s="20"/>
    </row>
    <row r="37" spans="1:12" x14ac:dyDescent="0.25">
      <c r="A37" s="19"/>
      <c r="B37" s="20"/>
      <c r="C37" s="20"/>
      <c r="D37" s="20"/>
      <c r="E37" s="20"/>
      <c r="F37" s="20"/>
      <c r="G37" s="20"/>
      <c r="H37" s="20"/>
      <c r="I37" s="20"/>
      <c r="J37" s="20"/>
      <c r="K37" s="20"/>
      <c r="L37" s="20"/>
    </row>
  </sheetData>
  <mergeCells count="1">
    <mergeCell ref="B1:L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92BA9BF-61E2-4E66-94CC-6C43844CC33C}">
  <ds:schemaRefs/>
</ds:datastoreItem>
</file>

<file path=customXml/itemProps2.xml><?xml version="1.0" encoding="utf-8"?>
<ds:datastoreItem xmlns:ds="http://schemas.openxmlformats.org/officeDocument/2006/customXml" ds:itemID="{80CE45B9-5300-4E2A-B041-5A1A7944D33A}">
  <ds:schemaRefs/>
</ds:datastoreItem>
</file>

<file path=customXml/itemProps3.xml><?xml version="1.0" encoding="utf-8"?>
<ds:datastoreItem xmlns:ds="http://schemas.openxmlformats.org/officeDocument/2006/customXml" ds:itemID="{A22D5625-6391-488E-B744-F42EF55232BA}">
  <ds:schemaRefs/>
</ds:datastoreItem>
</file>

<file path=customXml/itemProps4.xml><?xml version="1.0" encoding="utf-8"?>
<ds:datastoreItem xmlns:ds="http://schemas.openxmlformats.org/officeDocument/2006/customXml" ds:itemID="{4BF0EF87-C015-4B7A-A1D3-A028EB2F868C}">
  <ds:schemaRefs/>
</ds:datastoreItem>
</file>

<file path=customXml/itemProps5.xml><?xml version="1.0" encoding="utf-8"?>
<ds:datastoreItem xmlns:ds="http://schemas.openxmlformats.org/officeDocument/2006/customXml" ds:itemID="{2D22ABC0-290B-414F-9D2A-66197B320F63}">
  <ds:schemaRefs/>
</ds:datastoreItem>
</file>

<file path=customXml/itemProps6.xml><?xml version="1.0" encoding="utf-8"?>
<ds:datastoreItem xmlns:ds="http://schemas.openxmlformats.org/officeDocument/2006/customXml" ds:itemID="{ED2D0631-8E6C-40E9-B584-35C009EDDE72}">
  <ds:schemaRefs/>
</ds:datastoreItem>
</file>

<file path=customXml/itemProps7.xml><?xml version="1.0" encoding="utf-8"?>
<ds:datastoreItem xmlns:ds="http://schemas.openxmlformats.org/officeDocument/2006/customXml" ds:itemID="{17ADB99A-14EB-428D-99B2-9339A203C83E}">
  <ds:schemaRefs/>
</ds:datastoreItem>
</file>

<file path=customXml/itemProps8.xml><?xml version="1.0" encoding="utf-8"?>
<ds:datastoreItem xmlns:ds="http://schemas.openxmlformats.org/officeDocument/2006/customXml" ds:itemID="{9E7A88C4-749E-4484-9BED-7CCD0EC6BADE}">
  <ds:schemaRefs/>
</ds:datastoreItem>
</file>

<file path=customXml/itemProps9.xml><?xml version="1.0" encoding="utf-8"?>
<ds:datastoreItem xmlns:ds="http://schemas.openxmlformats.org/officeDocument/2006/customXml" ds:itemID="{E24AA11C-36A7-490F-89B0-406FB3C219F0}">
  <ds:schemaRefs/>
</ds:datastoreItem>
</file>

<file path=customXml/itemProps10.xml><?xml version="1.0" encoding="utf-8"?>
<ds:datastoreItem xmlns:ds="http://schemas.openxmlformats.org/officeDocument/2006/customXml" ds:itemID="{DAAE03FB-3E34-4222-9A6B-1994D61D1989}">
  <ds:schemaRefs/>
</ds:datastoreItem>
</file>

<file path=customXml/itemProps11.xml><?xml version="1.0" encoding="utf-8"?>
<ds:datastoreItem xmlns:ds="http://schemas.openxmlformats.org/officeDocument/2006/customXml" ds:itemID="{28CF6F11-B353-40BF-AF48-A8402081A09F}">
  <ds:schemaRefs/>
</ds:datastoreItem>
</file>

<file path=customXml/itemProps12.xml><?xml version="1.0" encoding="utf-8"?>
<ds:datastoreItem xmlns:ds="http://schemas.openxmlformats.org/officeDocument/2006/customXml" ds:itemID="{5B4752D6-44FD-4C2E-B640-849EABD72907}">
  <ds:schemaRefs/>
</ds:datastoreItem>
</file>

<file path=customXml/itemProps13.xml><?xml version="1.0" encoding="utf-8"?>
<ds:datastoreItem xmlns:ds="http://schemas.openxmlformats.org/officeDocument/2006/customXml" ds:itemID="{C9C98044-F9C5-4CCC-AC28-E79DC46A3998}">
  <ds:schemaRefs/>
</ds:datastoreItem>
</file>

<file path=customXml/itemProps14.xml><?xml version="1.0" encoding="utf-8"?>
<ds:datastoreItem xmlns:ds="http://schemas.openxmlformats.org/officeDocument/2006/customXml" ds:itemID="{8DD9F0ED-13C2-4F7A-A20F-E56F43DDF2FB}">
  <ds:schemaRefs/>
</ds:datastoreItem>
</file>

<file path=customXml/itemProps15.xml><?xml version="1.0" encoding="utf-8"?>
<ds:datastoreItem xmlns:ds="http://schemas.openxmlformats.org/officeDocument/2006/customXml" ds:itemID="{BB8E37C8-38A8-4DD6-9906-D8327C919CF2}">
  <ds:schemaRefs/>
</ds:datastoreItem>
</file>

<file path=customXml/itemProps16.xml><?xml version="1.0" encoding="utf-8"?>
<ds:datastoreItem xmlns:ds="http://schemas.openxmlformats.org/officeDocument/2006/customXml" ds:itemID="{B88D783A-9331-47D8-A6B0-5100B5B94661}">
  <ds:schemaRefs/>
</ds:datastoreItem>
</file>

<file path=customXml/itemProps17.xml><?xml version="1.0" encoding="utf-8"?>
<ds:datastoreItem xmlns:ds="http://schemas.openxmlformats.org/officeDocument/2006/customXml" ds:itemID="{8B3FF81F-1566-4794-B780-3A22229947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payment_Dim</vt:lpstr>
      <vt:lpstr>department_Dim</vt:lpstr>
      <vt:lpstr>state_Dim</vt:lpstr>
      <vt:lpstr>client_Dim</vt:lpstr>
      <vt:lpstr>Analysis</vt:lpstr>
      <vt:lpstr>revenue_Fact</vt:lpstr>
      <vt:lpstr>Dirty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COMLAB</cp:lastModifiedBy>
  <dcterms:created xsi:type="dcterms:W3CDTF">2023-05-29T07:26:35Z</dcterms:created>
  <dcterms:modified xsi:type="dcterms:W3CDTF">2026-02-20T10:18:23Z</dcterms:modified>
</cp:coreProperties>
</file>
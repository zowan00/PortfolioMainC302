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Analytics\Midterm_Task_2\"/>
    </mc:Choice>
  </mc:AlternateContent>
  <xr:revisionPtr revIDLastSave="0" documentId="13_ncr:1_{61451D35-0D73-49D3-984F-DAF6AE6A77E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ike Sales" sheetId="1" r:id="rId1"/>
    <sheet name="Pivot" sheetId="4" r:id="rId2"/>
  </sheets>
  <calcPr calcId="191028"/>
  <pivotCaches>
    <pivotCache cacheId="3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<sst xmlns="http://schemas.openxmlformats.org/spreadsheetml/2006/main" count="825" uniqueCount="158">
  <si>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</si>
  <si>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</si>
  <si>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</si>
  <si>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</si>
  <si>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</si>
  <si>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</si>
  <si>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</si>
  <si>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</si>
  <si>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</si>
  <si>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</si>
  <si>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</si>
  <si>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</si>
  <si>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</si>
  <si>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</si>
  <si>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</si>
  <si>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</si>
  <si>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</si>
  <si>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</si>
  <si>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</si>
  <si>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</si>
  <si>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</si>
  <si>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</si>
  <si>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</si>
  <si>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</si>
  <si>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</si>
  <si>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</si>
  <si>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</si>
  <si>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</si>
  <si>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</si>
  <si>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</si>
  <si>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</si>
  <si>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</si>
  <si>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</si>
  <si>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</si>
  <si>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</si>
  <si>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</si>
  <si>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</si>
  <si>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</si>
  <si>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</si>
  <si>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</si>
  <si>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</si>
  <si>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</si>
  <si>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</si>
  <si>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</si>
  <si>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</si>
  <si>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</si>
  <si>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</si>
  <si>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</si>
  <si>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</si>
  <si>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</si>
  <si>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</si>
  <si>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</si>
  <si>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</si>
  <si>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</si>
  <si>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</si>
  <si>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</si>
  <si>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</si>
  <si>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</si>
  <si>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</si>
  <si>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</si>
  <si>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</si>
  <si>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</si>
  <si>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</si>
  <si>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</si>
  <si>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</si>
  <si>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</si>
  <si>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</si>
  <si>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</si>
  <si>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</si>
  <si>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</si>
  <si>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</si>
  <si>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</si>
  <si>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</si>
  <si>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</si>
  <si>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</si>
  <si>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</si>
  <si>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</si>
  <si>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</si>
  <si>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</si>
  <si>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</si>
  <si>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</si>
  <si>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</si>
  <si>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</si>
  <si>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</si>
  <si>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</si>
  <si>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</si>
  <si>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</si>
  <si>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</si>
  <si>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</si>
  <si>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</si>
  <si>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</si>
  <si>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</si>
  <si>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</si>
  <si>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</si>
  <si>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</si>
  <si>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</si>
  <si>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</si>
  <si>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</si>
  <si>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</si>
  <si>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</si>
  <si>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</si>
  <si>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</si>
  <si>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</si>
  <si>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</si>
  <si>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</si>
  <si>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</si>
  <si>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</si>
  <si>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</si>
  <si>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</si>
  <si>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</si>
  <si>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</si>
  <si>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</si>
  <si>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</si>
  <si>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</si>
  <si>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</si>
  <si>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</si>
  <si>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</si>
  <si>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</si>
  <si>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</si>
  <si>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</si>
  <si>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</si>
  <si>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</si>
  <si>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</si>
  <si>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</si>
  <si>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</si>
  <si>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</si>
  <si>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</si>
  <si>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</si>
  <si>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</si>
  <si>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</si>
  <si>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</si>
  <si>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</si>
  <si>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</si>
  <si>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</si>
  <si>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</si>
  <si>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</si>
  <si>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</si>
  <si>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</si>
  <si>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</si>
  <si>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</si>
  <si>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</si>
  <si>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</si>
  <si>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</si>
  <si>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</si>
  <si>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</si>
  <si>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</si>
  <si>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</si>
  <si>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</si>
  <si>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</si>
  <si>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</si>
  <si>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</si>
  <si>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</si>
  <si>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</si>
  <si>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</si>
  <si>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</si>
  <si>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</si>
  <si>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Grand Total</t>
  </si>
  <si>
    <t>Sum of Order_Quantity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</si>
</sst>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[GutierrezJCM-C302_Midterm_Task2.xlsx]Pivot!PivotTable2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PH"/>
              <a:t>Sales</a:t>
            </a:r>
            <a:r>
              <a:rPr lang="en-PH" baseline="0"/>
              <a:t> Summary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Pivot!$C$1:$C$2</c:f>
              <c:strCache>
                <c:ptCount val="1"/>
                <c:pt idx="0">
                  <c:v>Australia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Pivot!$A$3:$B$6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Pivot!$C$3:$C$6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E-4111-8D69-5CFB0E565023}"/>
            </c:ext>
          </c:extLst>
        </c:ser>
        <c:ser>
          <c:idx val="1"/>
          <c:order val="1"/>
          <c:tx>
            <c:strRef>
              <c:f>Pivot!$D$1:$D$2</c:f>
              <c:strCache>
                <c:ptCount val="1"/>
                <c:pt idx="0">
                  <c:v>Canada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Pivot!$A$3:$B$6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Pivot!$D$3:$D$6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CE-4111-8D69-5CFB0E565023}"/>
            </c:ext>
          </c:extLst>
        </c:ser>
        <c:ser>
          <c:idx val="2"/>
          <c:order val="2"/>
          <c:tx>
            <c:strRef>
              <c:f>Pivot!$E$1:$E$2</c:f>
              <c:strCache>
                <c:ptCount val="1"/>
                <c:pt idx="0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Pivot!$A$3:$B$6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Pivot!$E$3:$E$6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CE-4111-8D69-5CFB0E565023}"/>
            </c:ext>
          </c:extLst>
        </c:ser>
        <c:ser>
          <c:idx val="3"/>
          <c:order val="3"/>
          <c:tx>
            <c:strRef>
              <c:f>Pivot!$F$1:$F$2</c:f>
              <c:strCache>
                <c:ptCount val="1"/>
                <c:pt idx="0">
                  <c:v>Germany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Pivot!$A$3:$B$6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Pivot!$F$3:$F$6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CE-4111-8D69-5CFB0E565023}"/>
            </c:ext>
          </c:extLst>
        </c:ser>
        <c:ser>
          <c:idx val="4"/>
          <c:order val="4"/>
          <c:tx>
            <c:strRef>
              <c:f>Pivot!$G$1:$G$2</c:f>
              <c:strCache>
                <c:ptCount val="1"/>
                <c:pt idx="0">
                  <c:v>United Kingdom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Pivot!$A$3:$B$6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Pivot!$G$3:$G$6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CE-4111-8D69-5CFB0E565023}"/>
            </c:ext>
          </c:extLst>
        </c:ser>
        <c:ser>
          <c:idx val="5"/>
          <c:order val="5"/>
          <c:tx>
            <c:strRef>
              <c:f>Pivot!$H$1:$H$2</c:f>
              <c:strCache>
                <c:ptCount val="1"/>
                <c:pt idx="0">
                  <c:v>United States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Pivot!$A$3:$B$6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Pivot!$H$3:$H$6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CE-4111-8D69-5CFB0E565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2951887"/>
        <c:axId val="1502952367"/>
      </c:barChart>
      <c:catAx>
        <c:axId val="15029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952367"/>
        <c:crosses val="autoZero"/>
        <c:auto val="1"/>
        <c:lblAlgn val="ctr"/>
        <c:lblOffset val="100"/>
        <c:noMultiLvlLbl val="0"/>
      </c:catAx>
      <c:valAx>
        <c:axId val="15029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95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185530</xdr:rowOff>
    </xdr:from>
    <xdr:to>
      <xdr:col>8</xdr:col>
      <xdr:colOff>0</xdr:colOff>
      <xdr:row>35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A0C81F-7851-BF07-958A-6B967C0B1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0.42482</cdr:x>
      <cdr:y>0.07126</cdr:y>
    </cdr:from>
    <cdr:to>
      <cdr:x>0.62482</cdr:x>
      <cdr:y>0.40459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70285A4-F1B5-4F3B-F43C-517126C3E991}"/>
            </a:ext>
          </a:extLst>
        </cdr:cNvPr>
        <cdr:cNvSpPr txBox="1"/>
      </cdr:nvSpPr>
      <cdr:spPr>
        <a:xfrm xmlns:a="http://schemas.openxmlformats.org/drawingml/2006/main">
          <a:off x="1942272" y="19547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PH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nold Velarde" refreshedDate="46078.649925925929" createdVersion="8" refreshedVersion="8" minRefreshableVersion="3" recordCount="88" xr:uid="{B312B27B-8AC9-47A2-BD28-4F791CBAB711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 pivotCacheId="981601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ABCFB-C42F-4ED0-83CE-226E266651A0}" name="PivotTable2" cacheId="37" applyNumberFormats="0" applyBorderFormats="0" applyFontFormats="0" applyPatternFormats="0" applyAlignmentFormats="0" applyWidthHeightFormats="1" dataCaption="Values" missingCaption="0" updatedVersion="8" minRefreshableVersion="3" useAutoFormatting="1" colGrandTotals="0" itemPrintTitles="1" createdVersion="8" indent="0" compact="0" compactData="0" chartFormat="43" rowHeaderCaption="Age_Group">
  <location ref="A1:H6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 sortType="descending">
      <items count="4">
        <item sd="0" x="2"/>
        <item sd="0" x="1"/>
        <item sd="0"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Order_Quantity" fld="13" baseField="0" baseItem="0"/>
  </dataFields>
  <formats count="18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8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6" type="button" dataOnly="0" labelOnly="1" outline="0" axis="axisRow" fieldPosition="0"/>
    </format>
    <format dxfId="6">
      <pivotArea dataOnly="0" labelOnly="1" outline="0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8">
      <pivotArea dataOnly="0" labelOnly="1" outline="0" fieldPosition="0">
        <references count="1">
          <reference field="8" count="0"/>
        </references>
      </pivotArea>
    </format>
    <format dxfId="9">
      <pivotArea type="all" dataOnly="0" outline="0" fieldPosition="0"/>
    </format>
    <format dxfId="10">
      <pivotArea outline="0" collapsedLevelsAreSubtotals="1" fieldPosition="0"/>
    </format>
    <format dxfId="11">
      <pivotArea type="origin" dataOnly="0" labelOnly="1" outline="0" fieldPosition="0"/>
    </format>
    <format dxfId="12">
      <pivotArea field="8" type="button" dataOnly="0" labelOnly="1" outline="0" axis="axisCol" fieldPosition="0"/>
    </format>
    <format dxfId="13">
      <pivotArea type="topRight" dataOnly="0" labelOnly="1" outline="0" fieldPosition="0"/>
    </format>
    <format dxfId="14">
      <pivotArea field="6" type="button" dataOnly="0" labelOnly="1" outline="0" axis="axisRow" fieldPosition="0"/>
    </format>
    <format dxfId="15">
      <pivotArea dataOnly="0" labelOnly="1" outline="0" fieldPosition="0">
        <references count="1">
          <reference field="6" count="0"/>
        </references>
      </pivotArea>
    </format>
    <format dxfId="16">
      <pivotArea dataOnly="0" labelOnly="1" grandRow="1" outline="0" fieldPosition="0"/>
    </format>
    <format dxfId="17">
      <pivotArea dataOnly="0" labelOnly="1" outline="0" fieldPosition="0">
        <references count="1">
          <reference field="8" count="0"/>
        </references>
      </pivotArea>
    </format>
  </formats>
  <chartFormats count="18"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3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3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Sales Summary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D1" zoomScaleNormal="100" workbookViewId="0">
      <selection activeCell="I2" sqref="I2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9" width="17.7109375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155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40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41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42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43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23</v>
      </c>
      <c r="J8" t="s">
        <v>44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45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46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47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48</v>
      </c>
      <c r="J11" t="s">
        <v>49</v>
      </c>
      <c r="K11" t="s">
        <v>25</v>
      </c>
      <c r="L11" t="s">
        <v>26</v>
      </c>
      <c r="M11" s="5" t="s">
        <v>42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50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51</v>
      </c>
      <c r="K12" t="s">
        <v>25</v>
      </c>
      <c r="L12" t="s">
        <v>26</v>
      </c>
      <c r="M12" s="5" t="s">
        <v>52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54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41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55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56</v>
      </c>
      <c r="J15" t="s">
        <v>57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59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60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52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61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62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63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64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41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65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66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56</v>
      </c>
      <c r="J21" t="s">
        <v>57</v>
      </c>
      <c r="K21" t="s">
        <v>25</v>
      </c>
      <c r="L21" t="s">
        <v>26</v>
      </c>
      <c r="M21" s="5" t="s">
        <v>52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67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68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69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71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72</v>
      </c>
      <c r="K24" t="s">
        <v>25</v>
      </c>
      <c r="L24" t="s">
        <v>26</v>
      </c>
      <c r="M24" s="5" t="s">
        <v>73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74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48</v>
      </c>
      <c r="J25" t="s">
        <v>75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76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59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77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59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78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42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79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80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81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44</v>
      </c>
      <c r="K30" t="s">
        <v>25</v>
      </c>
      <c r="L30" t="s">
        <v>26</v>
      </c>
      <c r="M30" s="5" t="s">
        <v>82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83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42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84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41</v>
      </c>
      <c r="H32" t="s">
        <v>22</v>
      </c>
      <c r="I32" t="s">
        <v>85</v>
      </c>
      <c r="J32" t="s">
        <v>86</v>
      </c>
      <c r="K32" t="s">
        <v>25</v>
      </c>
      <c r="L32" t="s">
        <v>26</v>
      </c>
      <c r="M32" s="5" t="s">
        <v>42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87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62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88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56</v>
      </c>
      <c r="J34" t="s">
        <v>57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89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90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52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91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92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93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42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94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72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95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44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96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51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97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98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99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42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100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42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101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44</v>
      </c>
      <c r="K46" t="s">
        <v>25</v>
      </c>
      <c r="L46" t="s">
        <v>26</v>
      </c>
      <c r="M46" s="5" t="s">
        <v>52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102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103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72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104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105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42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106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42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107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85</v>
      </c>
      <c r="J52" t="s">
        <v>108</v>
      </c>
      <c r="K52" t="s">
        <v>25</v>
      </c>
      <c r="L52" t="s">
        <v>26</v>
      </c>
      <c r="M52" s="5" t="s">
        <v>109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110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44</v>
      </c>
      <c r="K53" t="s">
        <v>25</v>
      </c>
      <c r="L53" t="s">
        <v>26</v>
      </c>
      <c r="M53" s="5" t="s">
        <v>52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111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112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48</v>
      </c>
      <c r="J55" t="s">
        <v>49</v>
      </c>
      <c r="K55" t="s">
        <v>25</v>
      </c>
      <c r="L55" t="s">
        <v>26</v>
      </c>
      <c r="M55" s="5" t="s">
        <v>109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113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65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114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48</v>
      </c>
      <c r="J57" t="s">
        <v>49</v>
      </c>
      <c r="K57" t="s">
        <v>25</v>
      </c>
      <c r="L57" t="s">
        <v>26</v>
      </c>
      <c r="M57" s="5" t="s">
        <v>109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115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41</v>
      </c>
      <c r="H58" t="s">
        <v>22</v>
      </c>
      <c r="I58" t="s">
        <v>85</v>
      </c>
      <c r="J58" t="s">
        <v>116</v>
      </c>
      <c r="K58" t="s">
        <v>25</v>
      </c>
      <c r="L58" t="s">
        <v>26</v>
      </c>
      <c r="M58" s="5" t="s">
        <v>52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117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118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59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119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85</v>
      </c>
      <c r="J61" t="s">
        <v>86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120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44</v>
      </c>
      <c r="K62" t="s">
        <v>25</v>
      </c>
      <c r="L62" t="s">
        <v>26</v>
      </c>
      <c r="M62" s="5" t="s">
        <v>52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121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41</v>
      </c>
      <c r="H63" t="s">
        <v>28</v>
      </c>
      <c r="I63" t="s">
        <v>85</v>
      </c>
      <c r="J63" t="s">
        <v>122</v>
      </c>
      <c r="K63" t="s">
        <v>25</v>
      </c>
      <c r="L63" t="s">
        <v>26</v>
      </c>
      <c r="M63" s="5" t="s">
        <v>109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123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41</v>
      </c>
      <c r="H64" t="s">
        <v>22</v>
      </c>
      <c r="I64" t="s">
        <v>36</v>
      </c>
      <c r="J64" t="s">
        <v>72</v>
      </c>
      <c r="K64" t="s">
        <v>25</v>
      </c>
      <c r="L64" t="s">
        <v>26</v>
      </c>
      <c r="M64" s="5" t="s">
        <v>124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125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85</v>
      </c>
      <c r="J65" t="s">
        <v>86</v>
      </c>
      <c r="K65" t="s">
        <v>25</v>
      </c>
      <c r="L65" t="s">
        <v>26</v>
      </c>
      <c r="M65" s="5" t="s">
        <v>42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126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68</v>
      </c>
      <c r="K66" t="s">
        <v>25</v>
      </c>
      <c r="L66" t="s">
        <v>26</v>
      </c>
      <c r="M66" s="5" t="s">
        <v>127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128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68</v>
      </c>
      <c r="K67" t="s">
        <v>25</v>
      </c>
      <c r="L67" t="s">
        <v>26</v>
      </c>
      <c r="M67" s="5" t="s">
        <v>42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129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130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51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131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41</v>
      </c>
      <c r="H70" t="s">
        <v>28</v>
      </c>
      <c r="I70" t="s">
        <v>36</v>
      </c>
      <c r="J70" t="s">
        <v>132</v>
      </c>
      <c r="K70" t="s">
        <v>25</v>
      </c>
      <c r="L70" t="s">
        <v>26</v>
      </c>
      <c r="M70" s="5" t="s">
        <v>80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133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48</v>
      </c>
      <c r="J71" t="s">
        <v>134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135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44</v>
      </c>
      <c r="K72" t="s">
        <v>25</v>
      </c>
      <c r="L72" t="s">
        <v>26</v>
      </c>
      <c r="M72" s="5" t="s">
        <v>52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136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72</v>
      </c>
      <c r="K73" t="s">
        <v>25</v>
      </c>
      <c r="L73" t="s">
        <v>26</v>
      </c>
      <c r="M73" s="5" t="s">
        <v>73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137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51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138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56</v>
      </c>
      <c r="J75" t="s">
        <v>57</v>
      </c>
      <c r="K75" t="s">
        <v>25</v>
      </c>
      <c r="L75" t="s">
        <v>26</v>
      </c>
      <c r="M75" s="5" t="s">
        <v>139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140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51</v>
      </c>
      <c r="K76" t="s">
        <v>25</v>
      </c>
      <c r="L76" t="s">
        <v>26</v>
      </c>
      <c r="M76" s="5" t="s">
        <v>52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141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72</v>
      </c>
      <c r="K77" t="s">
        <v>25</v>
      </c>
      <c r="L77" t="s">
        <v>26</v>
      </c>
      <c r="M77" s="5" t="s">
        <v>52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142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85</v>
      </c>
      <c r="J78" t="s">
        <v>143</v>
      </c>
      <c r="K78" t="s">
        <v>25</v>
      </c>
      <c r="L78" t="s">
        <v>26</v>
      </c>
      <c r="M78" s="5" t="s">
        <v>52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144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41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145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44</v>
      </c>
      <c r="K80" t="s">
        <v>25</v>
      </c>
      <c r="L80" t="s">
        <v>26</v>
      </c>
      <c r="M80" s="5" t="s">
        <v>52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146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59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147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41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65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148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85</v>
      </c>
      <c r="J83" t="s">
        <v>86</v>
      </c>
      <c r="K83" t="s">
        <v>25</v>
      </c>
      <c r="L83" t="s">
        <v>26</v>
      </c>
      <c r="M83" s="5" t="s">
        <v>42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149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56</v>
      </c>
      <c r="J84" t="s">
        <v>57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150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48</v>
      </c>
      <c r="J85" t="s">
        <v>134</v>
      </c>
      <c r="K85" t="s">
        <v>25</v>
      </c>
      <c r="L85" t="s">
        <v>26</v>
      </c>
      <c r="M85" s="5" t="s">
        <v>52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151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68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152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56</v>
      </c>
      <c r="J87" t="s">
        <v>57</v>
      </c>
      <c r="K87" t="s">
        <v>25</v>
      </c>
      <c r="L87" t="s">
        <v>26</v>
      </c>
      <c r="M87" s="5" t="s">
        <v>59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153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154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51</v>
      </c>
      <c r="K89" t="s">
        <v>25</v>
      </c>
      <c r="L89" t="s">
        <v>26</v>
      </c>
      <c r="M89" s="5" t="s">
        <v>59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B871-3A34-43F2-B43C-6E42568A862E}">
  <dimension ref="A1:H6"/>
  <sheetViews>
    <sheetView tabSelected="1" zoomScaleNormal="100" workbookViewId="0">
      <selection activeCell="H14" sqref="H14"/>
    </sheetView>
  </sheetViews>
  <sheetFormatPr defaultRowHeight="15" x14ac:dyDescent="0.25"/>
  <cols>
    <col min="1" max="1" width="29" customWidth="1"/>
    <col min="2" max="2" width="22.140625" bestFit="1" customWidth="1"/>
    <col min="3" max="3" width="12.5703125" bestFit="1" customWidth="1"/>
    <col min="4" max="4" width="7.42578125" bestFit="1" customWidth="1"/>
    <col min="5" max="5" width="6.85546875" bestFit="1" customWidth="1"/>
    <col min="6" max="6" width="9.140625" bestFit="1" customWidth="1"/>
    <col min="7" max="7" width="15.5703125" bestFit="1" customWidth="1"/>
    <col min="8" max="8" width="13.140625" bestFit="1" customWidth="1"/>
    <col min="9" max="9" width="15.5703125" bestFit="1" customWidth="1"/>
    <col min="10" max="10" width="15" bestFit="1" customWidth="1"/>
    <col min="11" max="11" width="21.140625" bestFit="1" customWidth="1"/>
    <col min="12" max="12" width="16.5703125" bestFit="1" customWidth="1"/>
    <col min="13" max="13" width="26.85546875" bestFit="1" customWidth="1"/>
    <col min="14" max="14" width="13.5703125" bestFit="1" customWidth="1"/>
    <col min="15" max="15" width="15.5703125" bestFit="1" customWidth="1"/>
    <col min="16" max="16" width="13.140625" bestFit="1" customWidth="1"/>
    <col min="17" max="17" width="13.5703125" bestFit="1" customWidth="1"/>
    <col min="18" max="18" width="21.85546875" bestFit="1" customWidth="1"/>
    <col min="19" max="19" width="7.42578125" bestFit="1" customWidth="1"/>
    <col min="20" max="20" width="6.85546875" bestFit="1" customWidth="1"/>
    <col min="22" max="22" width="13.5703125" bestFit="1" customWidth="1"/>
    <col min="23" max="23" width="15.5703125" bestFit="1" customWidth="1"/>
    <col min="24" max="24" width="13.140625" bestFit="1" customWidth="1"/>
    <col min="25" max="25" width="13.5703125" bestFit="1" customWidth="1"/>
    <col min="26" max="26" width="21.140625" bestFit="1" customWidth="1"/>
    <col min="27" max="27" width="16.5703125" bestFit="1" customWidth="1"/>
    <col min="28" max="28" width="26.85546875" bestFit="1" customWidth="1"/>
  </cols>
  <sheetData>
    <row r="1" spans="1:8" x14ac:dyDescent="0.25">
      <c r="A1" s="9" t="s">
        <v>157</v>
      </c>
      <c r="B1" s="10"/>
      <c r="C1" s="9" t="s">
        <v>8</v>
      </c>
      <c r="D1" s="10"/>
      <c r="E1" s="10"/>
      <c r="F1" s="10"/>
      <c r="G1" s="10"/>
      <c r="H1" s="10"/>
    </row>
    <row r="2" spans="1:8" x14ac:dyDescent="0.25">
      <c r="A2" s="9" t="s">
        <v>6</v>
      </c>
      <c r="B2" s="9" t="s">
        <v>7</v>
      </c>
      <c r="C2" s="10" t="s">
        <v>36</v>
      </c>
      <c r="D2" s="10" t="s">
        <v>56</v>
      </c>
      <c r="E2" s="10" t="s">
        <v>85</v>
      </c>
      <c r="F2" s="10" t="s">
        <v>48</v>
      </c>
      <c r="G2" s="10" t="s">
        <v>29</v>
      </c>
      <c r="H2" s="10" t="s">
        <v>23</v>
      </c>
    </row>
    <row r="3" spans="1:8" x14ac:dyDescent="0.25">
      <c r="A3" s="10" t="s">
        <v>41</v>
      </c>
      <c r="B3" s="10"/>
      <c r="C3" s="11">
        <v>11</v>
      </c>
      <c r="D3" s="11">
        <v>0</v>
      </c>
      <c r="E3" s="11">
        <v>10</v>
      </c>
      <c r="F3" s="11">
        <v>0</v>
      </c>
      <c r="G3" s="11">
        <v>6</v>
      </c>
      <c r="H3" s="11">
        <v>0</v>
      </c>
    </row>
    <row r="4" spans="1:8" x14ac:dyDescent="0.25">
      <c r="A4" s="10" t="s">
        <v>35</v>
      </c>
      <c r="B4" s="10"/>
      <c r="C4" s="11">
        <v>20</v>
      </c>
      <c r="D4" s="11">
        <v>11</v>
      </c>
      <c r="E4" s="11">
        <v>10</v>
      </c>
      <c r="F4" s="11">
        <v>0</v>
      </c>
      <c r="G4" s="11">
        <v>4</v>
      </c>
      <c r="H4" s="11">
        <v>16</v>
      </c>
    </row>
    <row r="5" spans="1:8" x14ac:dyDescent="0.25">
      <c r="A5" s="10" t="s">
        <v>21</v>
      </c>
      <c r="B5" s="10"/>
      <c r="C5" s="11">
        <v>32</v>
      </c>
      <c r="D5" s="11">
        <v>0</v>
      </c>
      <c r="E5" s="11">
        <v>0</v>
      </c>
      <c r="F5" s="11">
        <v>13</v>
      </c>
      <c r="G5" s="11">
        <v>4</v>
      </c>
      <c r="H5" s="11">
        <v>50</v>
      </c>
    </row>
    <row r="6" spans="1:8" x14ac:dyDescent="0.25">
      <c r="A6" s="10" t="s">
        <v>156</v>
      </c>
      <c r="B6" s="10"/>
      <c r="C6" s="11">
        <v>63</v>
      </c>
      <c r="D6" s="11">
        <v>11</v>
      </c>
      <c r="E6" s="11">
        <v>20</v>
      </c>
      <c r="F6" s="11">
        <v>13</v>
      </c>
      <c r="G6" s="11">
        <v>14</v>
      </c>
      <c r="H6" s="11">
        <v>66</v>
      </c>
    </row>
  </sheetData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 Sales</vt:lpstr>
      <vt:lpstr>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Arnold Velarde</cp:lastModifiedBy>
  <cp:revision/>
  <dcterms:created xsi:type="dcterms:W3CDTF">2022-11-04T20:14:11Z</dcterms:created>
  <dcterms:modified xsi:type="dcterms:W3CDTF">2026-02-25T08:20:47Z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